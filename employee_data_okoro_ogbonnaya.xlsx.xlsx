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TISFY\Documents\"/>
    </mc:Choice>
  </mc:AlternateContent>
  <xr:revisionPtr revIDLastSave="0" documentId="8_{6608209A-69F7-4E6B-857A-7C4D1A243A38}" xr6:coauthVersionLast="36" xr6:coauthVersionMax="36" xr10:uidLastSave="{00000000-0000-0000-0000-000000000000}"/>
  <bookViews>
    <workbookView xWindow="0" yWindow="0" windowWidth="11265" windowHeight="5865" xr2:uid="{A663301F-74A2-43F3-B735-87001089A52B}"/>
  </bookViews>
  <sheets>
    <sheet name="employee_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76" i="1" l="1"/>
  <c r="F76" i="1"/>
  <c r="D76" i="1"/>
  <c r="E75" i="1"/>
  <c r="F75" i="1"/>
  <c r="D75" i="1"/>
  <c r="E74" i="1"/>
  <c r="F74" i="1"/>
  <c r="D74" i="1"/>
  <c r="E73" i="1"/>
  <c r="F73" i="1"/>
  <c r="D73" i="1"/>
  <c r="F72" i="1"/>
  <c r="E72" i="1"/>
  <c r="D7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2" i="1"/>
</calcChain>
</file>

<file path=xl/sharedStrings.xml><?xml version="1.0" encoding="utf-8"?>
<sst xmlns="http://schemas.openxmlformats.org/spreadsheetml/2006/main" count="152" uniqueCount="151">
  <si>
    <t>Employee ID</t>
  </si>
  <si>
    <t>Name</t>
  </si>
  <si>
    <t>Hourly Wage</t>
  </si>
  <si>
    <t>Hours Worked</t>
  </si>
  <si>
    <t>Taxable Income</t>
  </si>
  <si>
    <t>Taxes to Be Paid</t>
  </si>
  <si>
    <t>Julia</t>
  </si>
  <si>
    <t>James</t>
  </si>
  <si>
    <t>Amelia</t>
  </si>
  <si>
    <t>Freddy</t>
  </si>
  <si>
    <t>Jeff</t>
  </si>
  <si>
    <t>Jefferson</t>
  </si>
  <si>
    <t>Clifford</t>
  </si>
  <si>
    <t>Janay</t>
  </si>
  <si>
    <t>Tanisha</t>
  </si>
  <si>
    <t>Tre</t>
  </si>
  <si>
    <t>Ariana</t>
  </si>
  <si>
    <t>Marisela</t>
  </si>
  <si>
    <t>Adrienne</t>
  </si>
  <si>
    <t>Keegan</t>
  </si>
  <si>
    <t>Nestor</t>
  </si>
  <si>
    <t>Mari</t>
  </si>
  <si>
    <t>Jerod</t>
  </si>
  <si>
    <t>Graciela</t>
  </si>
  <si>
    <t>Kenan</t>
  </si>
  <si>
    <t>Andrea</t>
  </si>
  <si>
    <t>Kolton</t>
  </si>
  <si>
    <t>Dangelo</t>
  </si>
  <si>
    <t>Louis</t>
  </si>
  <si>
    <t>Kerry</t>
  </si>
  <si>
    <t>Anne</t>
  </si>
  <si>
    <t>Keisha</t>
  </si>
  <si>
    <t>Dymond</t>
  </si>
  <si>
    <t>Ingrid</t>
  </si>
  <si>
    <t>Jaime</t>
  </si>
  <si>
    <t>Lilly</t>
  </si>
  <si>
    <t>Rogelio</t>
  </si>
  <si>
    <t>Joshua</t>
  </si>
  <si>
    <t>Lindsay</t>
  </si>
  <si>
    <t>Audra</t>
  </si>
  <si>
    <t>Aubrie</t>
  </si>
  <si>
    <t>Pranav</t>
  </si>
  <si>
    <t>Jordyn</t>
  </si>
  <si>
    <t>Macie</t>
  </si>
  <si>
    <t>Glen</t>
  </si>
  <si>
    <t>Zayne</t>
  </si>
  <si>
    <t>Samuel</t>
  </si>
  <si>
    <t>Ester</t>
  </si>
  <si>
    <t>Leandra</t>
  </si>
  <si>
    <t>Emma</t>
  </si>
  <si>
    <t>Efrain</t>
  </si>
  <si>
    <t>Phillip</t>
  </si>
  <si>
    <t>Judah</t>
  </si>
  <si>
    <t>Keaton</t>
  </si>
  <si>
    <t>Kavon</t>
  </si>
  <si>
    <t>Allan</t>
  </si>
  <si>
    <t>Jacinda</t>
  </si>
  <si>
    <t>Caden</t>
  </si>
  <si>
    <t>Tanya</t>
  </si>
  <si>
    <t>Rosalinda</t>
  </si>
  <si>
    <t>Raekwon</t>
  </si>
  <si>
    <t>Jude</t>
  </si>
  <si>
    <t>Dante</t>
  </si>
  <si>
    <t>Jayden</t>
  </si>
  <si>
    <t>Tianna</t>
  </si>
  <si>
    <t>Dean Ling</t>
  </si>
  <si>
    <t>Danae</t>
  </si>
  <si>
    <t>Alvaro</t>
  </si>
  <si>
    <t>Jayce</t>
  </si>
  <si>
    <t>Tanner</t>
  </si>
  <si>
    <t>Derek</t>
  </si>
  <si>
    <t>Ellie</t>
  </si>
  <si>
    <t>Alek</t>
  </si>
  <si>
    <t>Riya</t>
  </si>
  <si>
    <t>Cortney</t>
  </si>
  <si>
    <t>Totals:</t>
  </si>
  <si>
    <t>Average:</t>
  </si>
  <si>
    <t>Highest:</t>
  </si>
  <si>
    <t>Lowest:</t>
  </si>
  <si>
    <t>Number of Employees:</t>
  </si>
  <si>
    <t>Tax Rate (7%)</t>
  </si>
  <si>
    <t>EMP01</t>
  </si>
  <si>
    <t>EMP02</t>
  </si>
  <si>
    <t>EMP03</t>
  </si>
  <si>
    <t>EMP04</t>
  </si>
  <si>
    <t>EMP05</t>
  </si>
  <si>
    <t>EMP06</t>
  </si>
  <si>
    <t>EMP07</t>
  </si>
  <si>
    <t>EMP08</t>
  </si>
  <si>
    <t>EMP09</t>
  </si>
  <si>
    <t>EMP10</t>
  </si>
  <si>
    <t>EMP11</t>
  </si>
  <si>
    <t>EMP12</t>
  </si>
  <si>
    <t>EMP13</t>
  </si>
  <si>
    <t>EMP14</t>
  </si>
  <si>
    <t>EMP15</t>
  </si>
  <si>
    <t>EMP16</t>
  </si>
  <si>
    <t>EMP17</t>
  </si>
  <si>
    <t>EMP18</t>
  </si>
  <si>
    <t>EMP19</t>
  </si>
  <si>
    <t>EMP20</t>
  </si>
  <si>
    <t>EMP21</t>
  </si>
  <si>
    <t>EMP22</t>
  </si>
  <si>
    <t>EMP23</t>
  </si>
  <si>
    <t>EMP24</t>
  </si>
  <si>
    <t>EMP25</t>
  </si>
  <si>
    <t>EMP26</t>
  </si>
  <si>
    <t>EMP27</t>
  </si>
  <si>
    <t>EMP28</t>
  </si>
  <si>
    <t>EMP29</t>
  </si>
  <si>
    <t>EMP30</t>
  </si>
  <si>
    <t>EMP31</t>
  </si>
  <si>
    <t>EMP32</t>
  </si>
  <si>
    <t>EMP33</t>
  </si>
  <si>
    <t>EMP34</t>
  </si>
  <si>
    <t>EMP35</t>
  </si>
  <si>
    <t>EMP36</t>
  </si>
  <si>
    <t>EMP37</t>
  </si>
  <si>
    <t>EMP38</t>
  </si>
  <si>
    <t>EMP39</t>
  </si>
  <si>
    <t>EMP40</t>
  </si>
  <si>
    <t>EMP41</t>
  </si>
  <si>
    <t>EMP42</t>
  </si>
  <si>
    <t>EMP43</t>
  </si>
  <si>
    <t>EMP44</t>
  </si>
  <si>
    <t>EMP45</t>
  </si>
  <si>
    <t>EMP46</t>
  </si>
  <si>
    <t>EMP47</t>
  </si>
  <si>
    <t>EMP48</t>
  </si>
  <si>
    <t>EMP49</t>
  </si>
  <si>
    <t>EMP50</t>
  </si>
  <si>
    <t>EMP51</t>
  </si>
  <si>
    <t>EMP52</t>
  </si>
  <si>
    <t>EMP53</t>
  </si>
  <si>
    <t>EMP54</t>
  </si>
  <si>
    <t>EMP55</t>
  </si>
  <si>
    <t>EMP56</t>
  </si>
  <si>
    <t>EMP57</t>
  </si>
  <si>
    <t>EMP58</t>
  </si>
  <si>
    <t>EMP59</t>
  </si>
  <si>
    <t>EMP60</t>
  </si>
  <si>
    <t>EMP61</t>
  </si>
  <si>
    <t>EMP62</t>
  </si>
  <si>
    <t>EMP63</t>
  </si>
  <si>
    <t>EMP64</t>
  </si>
  <si>
    <t>EMP65</t>
  </si>
  <si>
    <t>EMP66</t>
  </si>
  <si>
    <t>EMP67</t>
  </si>
  <si>
    <t>EMP68</t>
  </si>
  <si>
    <t>EMP69</t>
  </si>
  <si>
    <t>EMP70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</si>
</sst>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168" formatCode="&quot;$&quot;#,##0.0"/>
    <numFmt numFmtId="169" formatCode="0;[Red]0"/>
    <numFmt numFmtId="170" formatCode="&quot;$&quot;#,##0;[Red]&quot;$&quot;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 applyAlignment="1">
      <alignment horizontal="right" wrapText="1"/>
    </xf>
    <xf numFmtId="0" fontId="1" fillId="0" borderId="1" xfId="0" applyFont="1" applyBorder="1" applyAlignment="1">
      <alignment horizontal="right" wrapText="1"/>
    </xf>
    <xf numFmtId="8" fontId="0" fillId="0" borderId="1" xfId="0" applyNumberFormat="1" applyBorder="1" applyAlignment="1">
      <alignment horizontal="right" wrapText="1"/>
    </xf>
    <xf numFmtId="0" fontId="1" fillId="0" borderId="1" xfId="0" applyFont="1" applyBorder="1" applyAlignment="1">
      <alignment vertical="center"/>
    </xf>
    <xf numFmtId="168" fontId="1" fillId="0" borderId="1" xfId="0" applyNumberFormat="1" applyFont="1" applyBorder="1" applyAlignment="1">
      <alignment horizontal="right" wrapText="1"/>
    </xf>
    <xf numFmtId="169" fontId="1" fillId="0" borderId="1" xfId="0" applyNumberFormat="1" applyFont="1" applyBorder="1" applyAlignment="1">
      <alignment horizontal="right" wrapText="1"/>
    </xf>
    <xf numFmtId="170" fontId="1" fillId="0" borderId="1" xfId="0" applyNumberFormat="1" applyFont="1" applyBorder="1" applyAlignment="1">
      <alignment horizontal="right" wrapText="1"/>
    </xf>
    <xf numFmtId="1" fontId="1" fillId="0" borderId="1" xfId="0" applyNumberFormat="1" applyFont="1" applyBorder="1" applyAlignment="1">
      <alignment horizontal="right" wrapText="1"/>
    </xf>
    <xf numFmtId="0" fontId="0" fillId="0" borderId="2" xfId="0" applyBorder="1" applyAlignment="1">
      <alignment horizontal="right" wrapText="1"/>
    </xf>
    <xf numFmtId="0" fontId="0" fillId="0" borderId="3" xfId="0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0" borderId="6" xfId="0" applyFont="1" applyBorder="1" applyAlignment="1">
      <alignment wrapText="1"/>
    </xf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7" xfId="0" applyBorder="1" applyAlignment="1">
      <alignment horizontal="right" wrapText="1"/>
    </xf>
    <xf numFmtId="8" fontId="0" fillId="0" borderId="8" xfId="0" applyNumberFormat="1" applyBorder="1" applyAlignment="1">
      <alignment horizontal="right" wrapText="1"/>
    </xf>
    <xf numFmtId="0" fontId="0" fillId="0" borderId="8" xfId="0" applyBorder="1" applyAlignment="1">
      <alignment horizontal="right" wrapText="1"/>
    </xf>
    <xf numFmtId="0" fontId="1" fillId="2" borderId="1" xfId="0" applyFont="1" applyFill="1" applyBorder="1" applyAlignment="1">
      <alignment horizontal="right" wrapText="1"/>
    </xf>
    <xf numFmtId="0" fontId="0" fillId="2" borderId="0" xfId="0" applyFill="1"/>
    <xf numFmtId="0" fontId="0" fillId="2" borderId="1" xfId="0" applyFill="1" applyBorder="1" applyAlignment="1">
      <alignment wrapText="1"/>
    </xf>
  </cellXfs>
  <cellStyles count="1">
    <cellStyle name="Normal" xfId="0" builtinId="0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alignment horizontal="right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numFmt numFmtId="12" formatCode="&quot;$&quot;#,##0.00_);[Red]\(&quot;$&quot;#,##0.00\)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numFmt numFmtId="12" formatCode="&quot;$&quot;#,##0.00_);[Red]\(&quot;$&quot;#,##0.00\)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numFmt numFmtId="12" formatCode="&quot;$&quot;#,##0.00_);[Red]\(&quot;$&quot;#,##0.00\)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right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bottom style="medium">
          <color rgb="FFCCCCCC"/>
        </bottom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Employees taxable Income</a:t>
            </a:r>
            <a:endParaRPr lang="en-US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69"/>
              <c:pt idx="0">
                <c:v>Adrienne</c:v>
              </c:pt>
              <c:pt idx="1">
                <c:v>Alek</c:v>
              </c:pt>
              <c:pt idx="2">
                <c:v>Allan</c:v>
              </c:pt>
              <c:pt idx="3">
                <c:v>Alvaro</c:v>
              </c:pt>
              <c:pt idx="4">
                <c:v>Amelia</c:v>
              </c:pt>
              <c:pt idx="5">
                <c:v>Andrea</c:v>
              </c:pt>
              <c:pt idx="6">
                <c:v>Anne</c:v>
              </c:pt>
              <c:pt idx="7">
                <c:v>Ariana</c:v>
              </c:pt>
              <c:pt idx="8">
                <c:v>Aubrie</c:v>
              </c:pt>
              <c:pt idx="9">
                <c:v>Audra</c:v>
              </c:pt>
              <c:pt idx="10">
                <c:v>Caden</c:v>
              </c:pt>
              <c:pt idx="11">
                <c:v>Clifford</c:v>
              </c:pt>
              <c:pt idx="12">
                <c:v>Cortney</c:v>
              </c:pt>
              <c:pt idx="13">
                <c:v>Danae</c:v>
              </c:pt>
              <c:pt idx="14">
                <c:v>Dangelo</c:v>
              </c:pt>
              <c:pt idx="15">
                <c:v>Dante</c:v>
              </c:pt>
              <c:pt idx="16">
                <c:v>Dean Ling</c:v>
              </c:pt>
              <c:pt idx="17">
                <c:v>Derek</c:v>
              </c:pt>
              <c:pt idx="18">
                <c:v>Dymond</c:v>
              </c:pt>
              <c:pt idx="19">
                <c:v>Efrain</c:v>
              </c:pt>
              <c:pt idx="20">
                <c:v>Ellie</c:v>
              </c:pt>
              <c:pt idx="21">
                <c:v>Emma</c:v>
              </c:pt>
              <c:pt idx="22">
                <c:v>Ester</c:v>
              </c:pt>
              <c:pt idx="23">
                <c:v>Freddy</c:v>
              </c:pt>
              <c:pt idx="24">
                <c:v>Glen</c:v>
              </c:pt>
              <c:pt idx="25">
                <c:v>Graciela</c:v>
              </c:pt>
              <c:pt idx="26">
                <c:v>Ingrid</c:v>
              </c:pt>
              <c:pt idx="27">
                <c:v>Jacinda</c:v>
              </c:pt>
              <c:pt idx="28">
                <c:v>Jaime</c:v>
              </c:pt>
              <c:pt idx="29">
                <c:v>James</c:v>
              </c:pt>
              <c:pt idx="30">
                <c:v>Janay</c:v>
              </c:pt>
              <c:pt idx="31">
                <c:v>Jayce</c:v>
              </c:pt>
              <c:pt idx="32">
                <c:v>Jayden</c:v>
              </c:pt>
              <c:pt idx="33">
                <c:v>Jeff</c:v>
              </c:pt>
              <c:pt idx="34">
                <c:v>Jefferson</c:v>
              </c:pt>
              <c:pt idx="35">
                <c:v>Jerod</c:v>
              </c:pt>
              <c:pt idx="36">
                <c:v>Jordyn</c:v>
              </c:pt>
              <c:pt idx="37">
                <c:v>Joshua</c:v>
              </c:pt>
              <c:pt idx="38">
                <c:v>Judah</c:v>
              </c:pt>
              <c:pt idx="39">
                <c:v>Jude</c:v>
              </c:pt>
              <c:pt idx="40">
                <c:v>Julia</c:v>
              </c:pt>
              <c:pt idx="41">
                <c:v>Kavon</c:v>
              </c:pt>
              <c:pt idx="42">
                <c:v>Keaton</c:v>
              </c:pt>
              <c:pt idx="43">
                <c:v>Keegan</c:v>
              </c:pt>
              <c:pt idx="44">
                <c:v>Keisha</c:v>
              </c:pt>
              <c:pt idx="45">
                <c:v>Kenan</c:v>
              </c:pt>
              <c:pt idx="46">
                <c:v>Kerry</c:v>
              </c:pt>
              <c:pt idx="47">
                <c:v>Kolton</c:v>
              </c:pt>
              <c:pt idx="48">
                <c:v>Leandra</c:v>
              </c:pt>
              <c:pt idx="49">
                <c:v>Lilly</c:v>
              </c:pt>
              <c:pt idx="50">
                <c:v>Lindsay</c:v>
              </c:pt>
              <c:pt idx="51">
                <c:v>Louis</c:v>
              </c:pt>
              <c:pt idx="52">
                <c:v>Macie</c:v>
              </c:pt>
              <c:pt idx="53">
                <c:v>Mari</c:v>
              </c:pt>
              <c:pt idx="54">
                <c:v>Marisela</c:v>
              </c:pt>
              <c:pt idx="55">
                <c:v>Nestor</c:v>
              </c:pt>
              <c:pt idx="56">
                <c:v>Phillip</c:v>
              </c:pt>
              <c:pt idx="57">
                <c:v>Pranav</c:v>
              </c:pt>
              <c:pt idx="58">
                <c:v>Raekwon</c:v>
              </c:pt>
              <c:pt idx="59">
                <c:v>Riya</c:v>
              </c:pt>
              <c:pt idx="60">
                <c:v>Rogelio</c:v>
              </c:pt>
              <c:pt idx="61">
                <c:v>Rosalinda</c:v>
              </c:pt>
              <c:pt idx="62">
                <c:v>Samuel</c:v>
              </c:pt>
              <c:pt idx="63">
                <c:v>Tanisha</c:v>
              </c:pt>
              <c:pt idx="64">
                <c:v>Tanner</c:v>
              </c:pt>
              <c:pt idx="65">
                <c:v>Tanya</c:v>
              </c:pt>
              <c:pt idx="66">
                <c:v>Tianna</c:v>
              </c:pt>
              <c:pt idx="67">
                <c:v>Tre</c:v>
              </c:pt>
              <c:pt idx="68">
                <c:v>Zayne</c:v>
              </c:pt>
            </c:strLit>
          </c:cat>
          <c:val>
            <c:numLit>
              <c:formatCode>General</c:formatCode>
              <c:ptCount val="69"/>
              <c:pt idx="0">
                <c:v>1515.75</c:v>
              </c:pt>
              <c:pt idx="1">
                <c:v>1813.5</c:v>
              </c:pt>
              <c:pt idx="2">
                <c:v>2106</c:v>
              </c:pt>
              <c:pt idx="3">
                <c:v>3744</c:v>
              </c:pt>
              <c:pt idx="4">
                <c:v>2000</c:v>
              </c:pt>
              <c:pt idx="5">
                <c:v>2277</c:v>
              </c:pt>
              <c:pt idx="6">
                <c:v>6368</c:v>
              </c:pt>
              <c:pt idx="7">
                <c:v>1920</c:v>
              </c:pt>
              <c:pt idx="8">
                <c:v>1824</c:v>
              </c:pt>
              <c:pt idx="9">
                <c:v>3162</c:v>
              </c:pt>
              <c:pt idx="10">
                <c:v>1999.5</c:v>
              </c:pt>
              <c:pt idx="11">
                <c:v>2213.75</c:v>
              </c:pt>
              <c:pt idx="12">
                <c:v>2100</c:v>
              </c:pt>
              <c:pt idx="13">
                <c:v>2080</c:v>
              </c:pt>
              <c:pt idx="14">
                <c:v>3320</c:v>
              </c:pt>
              <c:pt idx="15">
                <c:v>2244</c:v>
              </c:pt>
              <c:pt idx="16">
                <c:v>1368</c:v>
              </c:pt>
              <c:pt idx="17">
                <c:v>1760</c:v>
              </c:pt>
              <c:pt idx="18">
                <c:v>1813.5</c:v>
              </c:pt>
              <c:pt idx="19">
                <c:v>888</c:v>
              </c:pt>
              <c:pt idx="20">
                <c:v>1872</c:v>
              </c:pt>
              <c:pt idx="21">
                <c:v>1081</c:v>
              </c:pt>
              <c:pt idx="22">
                <c:v>1740</c:v>
              </c:pt>
              <c:pt idx="23">
                <c:v>2268.75</c:v>
              </c:pt>
              <c:pt idx="24">
                <c:v>1162</c:v>
              </c:pt>
              <c:pt idx="25">
                <c:v>2992</c:v>
              </c:pt>
              <c:pt idx="26">
                <c:v>1140</c:v>
              </c:pt>
              <c:pt idx="27">
                <c:v>1748</c:v>
              </c:pt>
              <c:pt idx="28">
                <c:v>2100</c:v>
              </c:pt>
              <c:pt idx="29">
                <c:v>2480</c:v>
              </c:pt>
              <c:pt idx="30">
                <c:v>1069.5</c:v>
              </c:pt>
              <c:pt idx="31">
                <c:v>1067</c:v>
              </c:pt>
              <c:pt idx="32">
                <c:v>1330</c:v>
              </c:pt>
              <c:pt idx="33">
                <c:v>2232</c:v>
              </c:pt>
              <c:pt idx="34">
                <c:v>2958</c:v>
              </c:pt>
              <c:pt idx="35">
                <c:v>3192</c:v>
              </c:pt>
              <c:pt idx="36">
                <c:v>2232</c:v>
              </c:pt>
              <c:pt idx="37">
                <c:v>2220</c:v>
              </c:pt>
              <c:pt idx="38">
                <c:v>1904</c:v>
              </c:pt>
              <c:pt idx="39">
                <c:v>1974</c:v>
              </c:pt>
              <c:pt idx="40">
                <c:v>2251.5</c:v>
              </c:pt>
              <c:pt idx="41">
                <c:v>2560</c:v>
              </c:pt>
              <c:pt idx="42">
                <c:v>3154</c:v>
              </c:pt>
              <c:pt idx="43">
                <c:v>888</c:v>
              </c:pt>
              <c:pt idx="44">
                <c:v>2184</c:v>
              </c:pt>
              <c:pt idx="45">
                <c:v>1260</c:v>
              </c:pt>
              <c:pt idx="46">
                <c:v>2134</c:v>
              </c:pt>
              <c:pt idx="47">
                <c:v>936</c:v>
              </c:pt>
              <c:pt idx="48">
                <c:v>2061.5</c:v>
              </c:pt>
              <c:pt idx="49">
                <c:v>1348.5</c:v>
              </c:pt>
              <c:pt idx="50">
                <c:v>2888</c:v>
              </c:pt>
              <c:pt idx="51">
                <c:v>3744</c:v>
              </c:pt>
              <c:pt idx="52">
                <c:v>1100.5</c:v>
              </c:pt>
              <c:pt idx="53">
                <c:v>2244</c:v>
              </c:pt>
              <c:pt idx="54">
                <c:v>2356</c:v>
              </c:pt>
              <c:pt idx="55">
                <c:v>2109</c:v>
              </c:pt>
              <c:pt idx="56">
                <c:v>3819</c:v>
              </c:pt>
              <c:pt idx="57">
                <c:v>1600</c:v>
              </c:pt>
              <c:pt idx="58">
                <c:v>2046</c:v>
              </c:pt>
              <c:pt idx="59">
                <c:v>836</c:v>
              </c:pt>
              <c:pt idx="60">
                <c:v>1527.5</c:v>
              </c:pt>
              <c:pt idx="61">
                <c:v>1332</c:v>
              </c:pt>
              <c:pt idx="62">
                <c:v>1815</c:v>
              </c:pt>
              <c:pt idx="63">
                <c:v>913.75</c:v>
              </c:pt>
              <c:pt idx="64">
                <c:v>3084.5</c:v>
              </c:pt>
              <c:pt idx="65">
                <c:v>1147</c:v>
              </c:pt>
              <c:pt idx="66">
                <c:v>2346</c:v>
              </c:pt>
              <c:pt idx="67">
                <c:v>1813.5</c:v>
              </c:pt>
              <c:pt idx="68">
                <c:v>2016</c:v>
              </c:pt>
            </c:numLit>
          </c:val>
          <c:extLst>
            <c:ext xmlns:c16="http://schemas.microsoft.com/office/drawing/2014/chart" uri="{C3380CC4-5D6E-409C-BE32-E72D297353CC}">
              <c16:uniqueId val="{00000000-2F78-49F7-8A0F-690DF1E572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0473711"/>
        <c:axId val="339287087"/>
      </c:barChart>
      <c:catAx>
        <c:axId val="340473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9287087"/>
        <c:crosses val="autoZero"/>
        <c:auto val="1"/>
        <c:lblAlgn val="ctr"/>
        <c:lblOffset val="100"/>
        <c:noMultiLvlLbl val="0"/>
      </c:catAx>
      <c:valAx>
        <c:axId val="3392870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4737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Tax Payable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69"/>
              <c:pt idx="0">
                <c:v>Adrienne</c:v>
              </c:pt>
              <c:pt idx="1">
                <c:v>Alek</c:v>
              </c:pt>
              <c:pt idx="2">
                <c:v>Allan</c:v>
              </c:pt>
              <c:pt idx="3">
                <c:v>Alvaro</c:v>
              </c:pt>
              <c:pt idx="4">
                <c:v>Amelia</c:v>
              </c:pt>
              <c:pt idx="5">
                <c:v>Andrea</c:v>
              </c:pt>
              <c:pt idx="6">
                <c:v>Anne</c:v>
              </c:pt>
              <c:pt idx="7">
                <c:v>Ariana</c:v>
              </c:pt>
              <c:pt idx="8">
                <c:v>Aubrie</c:v>
              </c:pt>
              <c:pt idx="9">
                <c:v>Audra</c:v>
              </c:pt>
              <c:pt idx="10">
                <c:v>Caden</c:v>
              </c:pt>
              <c:pt idx="11">
                <c:v>Clifford</c:v>
              </c:pt>
              <c:pt idx="12">
                <c:v>Cortney</c:v>
              </c:pt>
              <c:pt idx="13">
                <c:v>Danae</c:v>
              </c:pt>
              <c:pt idx="14">
                <c:v>Dangelo</c:v>
              </c:pt>
              <c:pt idx="15">
                <c:v>Dante</c:v>
              </c:pt>
              <c:pt idx="16">
                <c:v>Dean Ling</c:v>
              </c:pt>
              <c:pt idx="17">
                <c:v>Derek</c:v>
              </c:pt>
              <c:pt idx="18">
                <c:v>Dymond</c:v>
              </c:pt>
              <c:pt idx="19">
                <c:v>Efrain</c:v>
              </c:pt>
              <c:pt idx="20">
                <c:v>Ellie</c:v>
              </c:pt>
              <c:pt idx="21">
                <c:v>Emma</c:v>
              </c:pt>
              <c:pt idx="22">
                <c:v>Ester</c:v>
              </c:pt>
              <c:pt idx="23">
                <c:v>Freddy</c:v>
              </c:pt>
              <c:pt idx="24">
                <c:v>Glen</c:v>
              </c:pt>
              <c:pt idx="25">
                <c:v>Graciela</c:v>
              </c:pt>
              <c:pt idx="26">
                <c:v>Ingrid</c:v>
              </c:pt>
              <c:pt idx="27">
                <c:v>Jacinda</c:v>
              </c:pt>
              <c:pt idx="28">
                <c:v>Jaime</c:v>
              </c:pt>
              <c:pt idx="29">
                <c:v>James</c:v>
              </c:pt>
              <c:pt idx="30">
                <c:v>Janay</c:v>
              </c:pt>
              <c:pt idx="31">
                <c:v>Jayce</c:v>
              </c:pt>
              <c:pt idx="32">
                <c:v>Jayden</c:v>
              </c:pt>
              <c:pt idx="33">
                <c:v>Jeff</c:v>
              </c:pt>
              <c:pt idx="34">
                <c:v>Jefferson</c:v>
              </c:pt>
              <c:pt idx="35">
                <c:v>Jerod</c:v>
              </c:pt>
              <c:pt idx="36">
                <c:v>Jordyn</c:v>
              </c:pt>
              <c:pt idx="37">
                <c:v>Joshua</c:v>
              </c:pt>
              <c:pt idx="38">
                <c:v>Judah</c:v>
              </c:pt>
              <c:pt idx="39">
                <c:v>Jude</c:v>
              </c:pt>
              <c:pt idx="40">
                <c:v>Julia</c:v>
              </c:pt>
              <c:pt idx="41">
                <c:v>Kavon</c:v>
              </c:pt>
              <c:pt idx="42">
                <c:v>Keaton</c:v>
              </c:pt>
              <c:pt idx="43">
                <c:v>Keegan</c:v>
              </c:pt>
              <c:pt idx="44">
                <c:v>Keisha</c:v>
              </c:pt>
              <c:pt idx="45">
                <c:v>Kenan</c:v>
              </c:pt>
              <c:pt idx="46">
                <c:v>Kerry</c:v>
              </c:pt>
              <c:pt idx="47">
                <c:v>Kolton</c:v>
              </c:pt>
              <c:pt idx="48">
                <c:v>Leandra</c:v>
              </c:pt>
              <c:pt idx="49">
                <c:v>Lilly</c:v>
              </c:pt>
              <c:pt idx="50">
                <c:v>Lindsay</c:v>
              </c:pt>
              <c:pt idx="51">
                <c:v>Louis</c:v>
              </c:pt>
              <c:pt idx="52">
                <c:v>Macie</c:v>
              </c:pt>
              <c:pt idx="53">
                <c:v>Mari</c:v>
              </c:pt>
              <c:pt idx="54">
                <c:v>Marisela</c:v>
              </c:pt>
              <c:pt idx="55">
                <c:v>Nestor</c:v>
              </c:pt>
              <c:pt idx="56">
                <c:v>Phillip</c:v>
              </c:pt>
              <c:pt idx="57">
                <c:v>Pranav</c:v>
              </c:pt>
              <c:pt idx="58">
                <c:v>Raekwon</c:v>
              </c:pt>
              <c:pt idx="59">
                <c:v>Riya</c:v>
              </c:pt>
              <c:pt idx="60">
                <c:v>Rogelio</c:v>
              </c:pt>
              <c:pt idx="61">
                <c:v>Rosalinda</c:v>
              </c:pt>
              <c:pt idx="62">
                <c:v>Samuel</c:v>
              </c:pt>
              <c:pt idx="63">
                <c:v>Tanisha</c:v>
              </c:pt>
              <c:pt idx="64">
                <c:v>Tanner</c:v>
              </c:pt>
              <c:pt idx="65">
                <c:v>Tanya</c:v>
              </c:pt>
              <c:pt idx="66">
                <c:v>Tianna</c:v>
              </c:pt>
              <c:pt idx="67">
                <c:v>Tre</c:v>
              </c:pt>
              <c:pt idx="68">
                <c:v>Zayne</c:v>
              </c:pt>
            </c:strLit>
          </c:cat>
          <c:val>
            <c:numLit>
              <c:formatCode>General</c:formatCode>
              <c:ptCount val="69"/>
              <c:pt idx="0">
                <c:v>106.10250000000001</c:v>
              </c:pt>
              <c:pt idx="1">
                <c:v>126.94500000000001</c:v>
              </c:pt>
              <c:pt idx="2">
                <c:v>147.42000000000002</c:v>
              </c:pt>
              <c:pt idx="3">
                <c:v>262.08000000000004</c:v>
              </c:pt>
              <c:pt idx="4">
                <c:v>140</c:v>
              </c:pt>
              <c:pt idx="5">
                <c:v>159.39000000000001</c:v>
              </c:pt>
              <c:pt idx="6">
                <c:v>445.76000000000005</c:v>
              </c:pt>
              <c:pt idx="7">
                <c:v>134.4</c:v>
              </c:pt>
              <c:pt idx="8">
                <c:v>127.68</c:v>
              </c:pt>
              <c:pt idx="9">
                <c:v>221.34000000000003</c:v>
              </c:pt>
              <c:pt idx="10">
                <c:v>139.965</c:v>
              </c:pt>
              <c:pt idx="11">
                <c:v>154.96250000000001</c:v>
              </c:pt>
              <c:pt idx="12">
                <c:v>147</c:v>
              </c:pt>
              <c:pt idx="13">
                <c:v>145.60000000000002</c:v>
              </c:pt>
              <c:pt idx="14">
                <c:v>232.40000000000003</c:v>
              </c:pt>
              <c:pt idx="15">
                <c:v>157.08000000000001</c:v>
              </c:pt>
              <c:pt idx="16">
                <c:v>95.76</c:v>
              </c:pt>
              <c:pt idx="17">
                <c:v>123.20000000000002</c:v>
              </c:pt>
              <c:pt idx="18">
                <c:v>126.94500000000001</c:v>
              </c:pt>
              <c:pt idx="19">
                <c:v>62.160000000000004</c:v>
              </c:pt>
              <c:pt idx="20">
                <c:v>131.04000000000002</c:v>
              </c:pt>
              <c:pt idx="21">
                <c:v>75.67</c:v>
              </c:pt>
              <c:pt idx="22">
                <c:v>121.80000000000001</c:v>
              </c:pt>
              <c:pt idx="23">
                <c:v>158.81250000000003</c:v>
              </c:pt>
              <c:pt idx="24">
                <c:v>81.34</c:v>
              </c:pt>
              <c:pt idx="25">
                <c:v>209.44000000000003</c:v>
              </c:pt>
              <c:pt idx="26">
                <c:v>79.800000000000011</c:v>
              </c:pt>
              <c:pt idx="27">
                <c:v>122.36000000000001</c:v>
              </c:pt>
              <c:pt idx="28">
                <c:v>147</c:v>
              </c:pt>
              <c:pt idx="29">
                <c:v>173.60000000000002</c:v>
              </c:pt>
              <c:pt idx="30">
                <c:v>74.865000000000009</c:v>
              </c:pt>
              <c:pt idx="31">
                <c:v>74.690000000000012</c:v>
              </c:pt>
              <c:pt idx="32">
                <c:v>93.100000000000009</c:v>
              </c:pt>
              <c:pt idx="33">
                <c:v>156.24</c:v>
              </c:pt>
              <c:pt idx="34">
                <c:v>207.06000000000003</c:v>
              </c:pt>
              <c:pt idx="35">
                <c:v>223.44000000000003</c:v>
              </c:pt>
              <c:pt idx="36">
                <c:v>156.24</c:v>
              </c:pt>
              <c:pt idx="37">
                <c:v>155.4</c:v>
              </c:pt>
              <c:pt idx="38">
                <c:v>133.28</c:v>
              </c:pt>
              <c:pt idx="39">
                <c:v>138.18</c:v>
              </c:pt>
              <c:pt idx="40">
                <c:v>157.60500000000002</c:v>
              </c:pt>
              <c:pt idx="41">
                <c:v>179.20000000000002</c:v>
              </c:pt>
              <c:pt idx="42">
                <c:v>220.78000000000003</c:v>
              </c:pt>
              <c:pt idx="43">
                <c:v>62.160000000000004</c:v>
              </c:pt>
              <c:pt idx="44">
                <c:v>152.88000000000002</c:v>
              </c:pt>
              <c:pt idx="45">
                <c:v>88.2</c:v>
              </c:pt>
              <c:pt idx="46">
                <c:v>149.38000000000002</c:v>
              </c:pt>
              <c:pt idx="47">
                <c:v>65.52000000000001</c:v>
              </c:pt>
              <c:pt idx="48">
                <c:v>144.30500000000001</c:v>
              </c:pt>
              <c:pt idx="49">
                <c:v>94.39500000000001</c:v>
              </c:pt>
              <c:pt idx="50">
                <c:v>202.16000000000003</c:v>
              </c:pt>
              <c:pt idx="51">
                <c:v>262.08000000000004</c:v>
              </c:pt>
              <c:pt idx="52">
                <c:v>77.035000000000011</c:v>
              </c:pt>
              <c:pt idx="53">
                <c:v>157.08000000000001</c:v>
              </c:pt>
              <c:pt idx="54">
                <c:v>164.92000000000002</c:v>
              </c:pt>
              <c:pt idx="55">
                <c:v>147.63000000000002</c:v>
              </c:pt>
              <c:pt idx="56">
                <c:v>267.33000000000004</c:v>
              </c:pt>
              <c:pt idx="57">
                <c:v>112.00000000000001</c:v>
              </c:pt>
              <c:pt idx="58">
                <c:v>143.22000000000003</c:v>
              </c:pt>
              <c:pt idx="59">
                <c:v>58.52</c:v>
              </c:pt>
              <c:pt idx="60">
                <c:v>106.92500000000001</c:v>
              </c:pt>
              <c:pt idx="61">
                <c:v>93.240000000000009</c:v>
              </c:pt>
              <c:pt idx="62">
                <c:v>127.05000000000001</c:v>
              </c:pt>
              <c:pt idx="63">
                <c:v>63.962500000000006</c:v>
              </c:pt>
              <c:pt idx="64">
                <c:v>215.91500000000002</c:v>
              </c:pt>
              <c:pt idx="65">
                <c:v>80.290000000000006</c:v>
              </c:pt>
              <c:pt idx="66">
                <c:v>164.22000000000003</c:v>
              </c:pt>
              <c:pt idx="67">
                <c:v>126.94500000000001</c:v>
              </c:pt>
              <c:pt idx="68">
                <c:v>141.12</c:v>
              </c:pt>
            </c:numLit>
          </c:val>
          <c:extLst>
            <c:ext xmlns:c16="http://schemas.microsoft.com/office/drawing/2014/chart" uri="{C3380CC4-5D6E-409C-BE32-E72D297353CC}">
              <c16:uniqueId val="{00000000-46B0-4391-9486-F395D168AA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7052223"/>
        <c:axId val="344869695"/>
      </c:barChart>
      <c:catAx>
        <c:axId val="397052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869695"/>
        <c:crosses val="autoZero"/>
        <c:auto val="1"/>
        <c:lblAlgn val="ctr"/>
        <c:lblOffset val="100"/>
        <c:noMultiLvlLbl val="0"/>
      </c:catAx>
      <c:valAx>
        <c:axId val="3448696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70522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676275</xdr:colOff>
      <xdr:row>1</xdr:row>
      <xdr:rowOff>161925</xdr:rowOff>
    </xdr:from>
    <xdr:to>
      <xdr:col>14</xdr:col>
      <xdr:colOff>171450</xdr:colOff>
      <xdr:row>15</xdr:row>
      <xdr:rowOff>104775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11AD6B9-B165-42D7-82CF-3B765BD792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695325</xdr:colOff>
      <xdr:row>16</xdr:row>
      <xdr:rowOff>180975</xdr:rowOff>
    </xdr:from>
    <xdr:to>
      <xdr:col>14</xdr:col>
      <xdr:colOff>190500</xdr:colOff>
      <xdr:row>30</xdr:row>
      <xdr:rowOff>123825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FC779E8-5326-41CD-8AA7-31D3E3E965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9423E56-71E0-48FB-9421-82918E3A714D}" name="Table2" displayName="Table2" ref="A1:G71" totalsRowShown="0" headerRowDxfId="0" dataDxfId="1" headerRowBorderDxfId="10" tableBorderDxfId="11" totalsRowBorderDxfId="9">
  <autoFilter ref="A1:G71" xr:uid="{EA77BECC-9B99-4CD4-9519-F52F56CC91F6}"/>
  <tableColumns count="7">
    <tableColumn id="1" xr3:uid="{6A95FCBF-6518-4433-ACEE-94ABB22B1A3D}" name="Employee ID" dataDxfId="8"/>
    <tableColumn id="2" xr3:uid="{199B6139-E844-4D3E-9505-8E77131E8E54}" name="Name" dataDxfId="7"/>
    <tableColumn id="3" xr3:uid="{99DD6784-B7EB-478A-A47F-FAFFBCEDA31A}" name="Hourly Wage" dataDxfId="6"/>
    <tableColumn id="4" xr3:uid="{3AA3C1D1-F520-4DB7-B3C9-9D538BA2FD12}" name="Hours Worked" dataDxfId="5"/>
    <tableColumn id="5" xr3:uid="{0BA5646B-17CF-443D-812D-513B8D353CE4}" name="Taxable Income" dataDxfId="4">
      <calculatedColumnFormula>C2*D2</calculatedColumnFormula>
    </tableColumn>
    <tableColumn id="6" xr3:uid="{A5776945-6EF1-4446-B784-BB505A43EFA8}" name="Taxes to Be Paid" dataDxfId="3">
      <calculatedColumnFormula>E2*$G$2</calculatedColumnFormula>
    </tableColumn>
    <tableColumn id="7" xr3:uid="{8F8AA0C8-437D-4D2A-BE53-075DC26FA499}" name="Tax Rate (7%)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4D656-A349-4AF5-AB92-C479C4FD1CDE}">
  <dimension ref="A1:O76"/>
  <sheetViews>
    <sheetView tabSelected="1" zoomScale="75" zoomScaleNormal="75" workbookViewId="0">
      <pane ySplit="1" topLeftCell="A2" activePane="bottomLeft" state="frozen"/>
      <selection pane="bottomLeft" activeCell="Q22" sqref="Q22"/>
    </sheetView>
  </sheetViews>
  <sheetFormatPr defaultRowHeight="15" x14ac:dyDescent="0.25"/>
  <cols>
    <col min="1" max="1" width="14.28515625" customWidth="1"/>
    <col min="2" max="2" width="14" customWidth="1"/>
    <col min="3" max="3" width="21.7109375" bestFit="1" customWidth="1"/>
    <col min="4" max="4" width="15.85546875" customWidth="1"/>
    <col min="5" max="5" width="17" customWidth="1"/>
    <col min="6" max="6" width="17.7109375" customWidth="1"/>
    <col min="7" max="7" width="18.7109375" customWidth="1"/>
    <col min="8" max="8" width="21.28515625" customWidth="1"/>
  </cols>
  <sheetData>
    <row r="1" spans="1:15" ht="15.75" thickBot="1" x14ac:dyDescent="0.3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4" t="s">
        <v>80</v>
      </c>
      <c r="H1" s="20"/>
      <c r="I1" s="21"/>
      <c r="J1" s="21"/>
      <c r="K1" s="21"/>
      <c r="L1" s="21"/>
      <c r="M1" s="21"/>
      <c r="N1" s="21"/>
      <c r="O1" s="21"/>
    </row>
    <row r="2" spans="1:15" ht="15.75" thickBot="1" x14ac:dyDescent="0.3">
      <c r="A2" s="10" t="s">
        <v>81</v>
      </c>
      <c r="B2" s="1" t="s">
        <v>6</v>
      </c>
      <c r="C2" s="4">
        <v>14.25</v>
      </c>
      <c r="D2" s="2">
        <v>158</v>
      </c>
      <c r="E2" s="4">
        <f>C2*D2</f>
        <v>2251.5</v>
      </c>
      <c r="F2" s="4">
        <f>E2*$G$2</f>
        <v>157.60500000000002</v>
      </c>
      <c r="G2" s="11">
        <v>7.0000000000000007E-2</v>
      </c>
      <c r="H2" s="22"/>
      <c r="I2" s="21"/>
      <c r="J2" s="21"/>
      <c r="K2" s="21"/>
      <c r="L2" s="21"/>
      <c r="M2" s="21"/>
      <c r="N2" s="21"/>
      <c r="O2" s="21"/>
    </row>
    <row r="3" spans="1:15" ht="15.75" thickBot="1" x14ac:dyDescent="0.3">
      <c r="A3" s="10" t="s">
        <v>82</v>
      </c>
      <c r="B3" s="1" t="s">
        <v>7</v>
      </c>
      <c r="C3" s="4">
        <v>15.5</v>
      </c>
      <c r="D3" s="2">
        <v>160</v>
      </c>
      <c r="E3" s="4">
        <f t="shared" ref="E3:E66" si="0">C3*D3</f>
        <v>2480</v>
      </c>
      <c r="F3" s="4">
        <f t="shared" ref="F3:F66" si="1">E3*$G$2</f>
        <v>173.60000000000002</v>
      </c>
      <c r="G3" s="11">
        <v>7.0000000000000007E-2</v>
      </c>
      <c r="H3" s="22"/>
      <c r="I3" s="21"/>
      <c r="J3" s="21"/>
      <c r="K3" s="21"/>
      <c r="L3" s="21"/>
      <c r="M3" s="21"/>
      <c r="N3" s="21"/>
      <c r="O3" s="21"/>
    </row>
    <row r="4" spans="1:15" ht="15.75" thickBot="1" x14ac:dyDescent="0.3">
      <c r="A4" s="10" t="s">
        <v>83</v>
      </c>
      <c r="B4" s="1" t="s">
        <v>8</v>
      </c>
      <c r="C4" s="4">
        <v>16</v>
      </c>
      <c r="D4" s="2">
        <v>125</v>
      </c>
      <c r="E4" s="4">
        <f t="shared" si="0"/>
        <v>2000</v>
      </c>
      <c r="F4" s="4">
        <f t="shared" si="1"/>
        <v>140</v>
      </c>
      <c r="G4" s="11">
        <v>7.0000000000000007E-2</v>
      </c>
      <c r="H4" s="22"/>
      <c r="I4" s="21"/>
      <c r="J4" s="21"/>
      <c r="K4" s="21"/>
      <c r="L4" s="21"/>
      <c r="M4" s="21"/>
      <c r="N4" s="21"/>
      <c r="O4" s="21"/>
    </row>
    <row r="5" spans="1:15" ht="15.75" thickBot="1" x14ac:dyDescent="0.3">
      <c r="A5" s="10" t="s">
        <v>84</v>
      </c>
      <c r="B5" s="1" t="s">
        <v>9</v>
      </c>
      <c r="C5" s="4">
        <v>13.75</v>
      </c>
      <c r="D5" s="2">
        <v>165</v>
      </c>
      <c r="E5" s="4">
        <f t="shared" si="0"/>
        <v>2268.75</v>
      </c>
      <c r="F5" s="4">
        <f t="shared" si="1"/>
        <v>158.81250000000003</v>
      </c>
      <c r="G5" s="11">
        <v>7.0000000000000007E-2</v>
      </c>
      <c r="H5" s="22"/>
      <c r="I5" s="21"/>
      <c r="J5" s="21"/>
      <c r="K5" s="21"/>
      <c r="L5" s="21"/>
      <c r="M5" s="21"/>
      <c r="N5" s="21"/>
      <c r="O5" s="21"/>
    </row>
    <row r="6" spans="1:15" ht="15.75" thickBot="1" x14ac:dyDescent="0.3">
      <c r="A6" s="10" t="s">
        <v>85</v>
      </c>
      <c r="B6" s="1" t="s">
        <v>10</v>
      </c>
      <c r="C6" s="4">
        <v>15.5</v>
      </c>
      <c r="D6" s="2">
        <v>144</v>
      </c>
      <c r="E6" s="4">
        <f t="shared" si="0"/>
        <v>2232</v>
      </c>
      <c r="F6" s="4">
        <f t="shared" si="1"/>
        <v>156.24</v>
      </c>
      <c r="G6" s="11">
        <v>7.0000000000000007E-2</v>
      </c>
      <c r="H6" s="22"/>
      <c r="I6" s="21"/>
      <c r="J6" s="21"/>
      <c r="K6" s="21"/>
      <c r="L6" s="21"/>
      <c r="M6" s="21"/>
      <c r="N6" s="21"/>
      <c r="O6" s="21"/>
    </row>
    <row r="7" spans="1:15" ht="15.75" thickBot="1" x14ac:dyDescent="0.3">
      <c r="A7" s="10" t="s">
        <v>86</v>
      </c>
      <c r="B7" s="1" t="s">
        <v>11</v>
      </c>
      <c r="C7" s="4">
        <v>17</v>
      </c>
      <c r="D7" s="2">
        <v>174</v>
      </c>
      <c r="E7" s="4">
        <f t="shared" si="0"/>
        <v>2958</v>
      </c>
      <c r="F7" s="4">
        <f t="shared" si="1"/>
        <v>207.06000000000003</v>
      </c>
      <c r="G7" s="11">
        <v>7.0000000000000007E-2</v>
      </c>
      <c r="H7" s="22"/>
      <c r="I7" s="21"/>
      <c r="J7" s="21"/>
      <c r="K7" s="21"/>
      <c r="L7" s="21"/>
      <c r="M7" s="21"/>
      <c r="N7" s="21"/>
      <c r="O7" s="21"/>
    </row>
    <row r="8" spans="1:15" ht="15.75" thickBot="1" x14ac:dyDescent="0.3">
      <c r="A8" s="10" t="s">
        <v>87</v>
      </c>
      <c r="B8" s="1" t="s">
        <v>12</v>
      </c>
      <c r="C8" s="4">
        <v>13.75</v>
      </c>
      <c r="D8" s="2">
        <v>161</v>
      </c>
      <c r="E8" s="4">
        <f t="shared" si="0"/>
        <v>2213.75</v>
      </c>
      <c r="F8" s="4">
        <f t="shared" si="1"/>
        <v>154.96250000000001</v>
      </c>
      <c r="G8" s="11">
        <v>7.0000000000000007E-2</v>
      </c>
      <c r="H8" s="22"/>
      <c r="I8" s="21"/>
      <c r="J8" s="21"/>
      <c r="K8" s="21"/>
      <c r="L8" s="21"/>
      <c r="M8" s="21"/>
      <c r="N8" s="21"/>
      <c r="O8" s="21"/>
    </row>
    <row r="9" spans="1:15" ht="15.75" thickBot="1" x14ac:dyDescent="0.3">
      <c r="A9" s="10" t="s">
        <v>88</v>
      </c>
      <c r="B9" s="1" t="s">
        <v>13</v>
      </c>
      <c r="C9" s="4">
        <v>15.5</v>
      </c>
      <c r="D9" s="2">
        <v>69</v>
      </c>
      <c r="E9" s="4">
        <f t="shared" si="0"/>
        <v>1069.5</v>
      </c>
      <c r="F9" s="4">
        <f t="shared" si="1"/>
        <v>74.865000000000009</v>
      </c>
      <c r="G9" s="11">
        <v>7.0000000000000007E-2</v>
      </c>
      <c r="H9" s="22"/>
      <c r="I9" s="21"/>
      <c r="J9" s="21"/>
      <c r="K9" s="21"/>
      <c r="L9" s="21"/>
      <c r="M9" s="21"/>
      <c r="N9" s="21"/>
      <c r="O9" s="21"/>
    </row>
    <row r="10" spans="1:15" ht="15.75" thickBot="1" x14ac:dyDescent="0.3">
      <c r="A10" s="10" t="s">
        <v>89</v>
      </c>
      <c r="B10" s="1" t="s">
        <v>14</v>
      </c>
      <c r="C10" s="4">
        <v>10.75</v>
      </c>
      <c r="D10" s="2">
        <v>85</v>
      </c>
      <c r="E10" s="4">
        <f t="shared" si="0"/>
        <v>913.75</v>
      </c>
      <c r="F10" s="4">
        <f t="shared" si="1"/>
        <v>63.962500000000006</v>
      </c>
      <c r="G10" s="11">
        <v>7.0000000000000007E-2</v>
      </c>
      <c r="H10" s="22"/>
      <c r="I10" s="21"/>
      <c r="J10" s="21"/>
      <c r="K10" s="21"/>
      <c r="L10" s="21"/>
      <c r="M10" s="21"/>
      <c r="N10" s="21"/>
      <c r="O10" s="21"/>
    </row>
    <row r="11" spans="1:15" ht="15.75" thickBot="1" x14ac:dyDescent="0.3">
      <c r="A11" s="10" t="s">
        <v>90</v>
      </c>
      <c r="B11" s="1" t="s">
        <v>15</v>
      </c>
      <c r="C11" s="4">
        <v>15.5</v>
      </c>
      <c r="D11" s="2">
        <v>117</v>
      </c>
      <c r="E11" s="4">
        <f t="shared" si="0"/>
        <v>1813.5</v>
      </c>
      <c r="F11" s="4">
        <f t="shared" si="1"/>
        <v>126.94500000000001</v>
      </c>
      <c r="G11" s="11">
        <v>7.0000000000000007E-2</v>
      </c>
      <c r="H11" s="22"/>
      <c r="I11" s="21"/>
      <c r="J11" s="21"/>
      <c r="K11" s="21"/>
      <c r="L11" s="21"/>
      <c r="M11" s="21"/>
      <c r="N11" s="21"/>
      <c r="O11" s="21"/>
    </row>
    <row r="12" spans="1:15" ht="15.75" thickBot="1" x14ac:dyDescent="0.3">
      <c r="A12" s="10" t="s">
        <v>91</v>
      </c>
      <c r="B12" s="1" t="s">
        <v>16</v>
      </c>
      <c r="C12" s="4">
        <v>12</v>
      </c>
      <c r="D12" s="2">
        <v>160</v>
      </c>
      <c r="E12" s="4">
        <f t="shared" si="0"/>
        <v>1920</v>
      </c>
      <c r="F12" s="4">
        <f t="shared" si="1"/>
        <v>134.4</v>
      </c>
      <c r="G12" s="11">
        <v>7.0000000000000007E-2</v>
      </c>
      <c r="H12" s="22"/>
      <c r="I12" s="21"/>
      <c r="J12" s="21"/>
      <c r="K12" s="21"/>
      <c r="L12" s="21"/>
      <c r="M12" s="21"/>
      <c r="N12" s="21"/>
      <c r="O12" s="21"/>
    </row>
    <row r="13" spans="1:15" ht="15.75" thickBot="1" x14ac:dyDescent="0.3">
      <c r="A13" s="10" t="s">
        <v>92</v>
      </c>
      <c r="B13" s="1" t="s">
        <v>17</v>
      </c>
      <c r="C13" s="4">
        <v>15.5</v>
      </c>
      <c r="D13" s="2">
        <v>152</v>
      </c>
      <c r="E13" s="4">
        <f t="shared" si="0"/>
        <v>2356</v>
      </c>
      <c r="F13" s="4">
        <f t="shared" si="1"/>
        <v>164.92000000000002</v>
      </c>
      <c r="G13" s="11">
        <v>7.0000000000000007E-2</v>
      </c>
      <c r="H13" s="22"/>
      <c r="I13" s="21"/>
      <c r="J13" s="21"/>
      <c r="K13" s="21"/>
      <c r="L13" s="21"/>
      <c r="M13" s="21"/>
      <c r="N13" s="21"/>
      <c r="O13" s="21"/>
    </row>
    <row r="14" spans="1:15" ht="15.75" thickBot="1" x14ac:dyDescent="0.3">
      <c r="A14" s="10" t="s">
        <v>93</v>
      </c>
      <c r="B14" s="1" t="s">
        <v>18</v>
      </c>
      <c r="C14" s="4">
        <v>11.75</v>
      </c>
      <c r="D14" s="2">
        <v>129</v>
      </c>
      <c r="E14" s="4">
        <f t="shared" si="0"/>
        <v>1515.75</v>
      </c>
      <c r="F14" s="4">
        <f t="shared" si="1"/>
        <v>106.10250000000001</v>
      </c>
      <c r="G14" s="11">
        <v>7.0000000000000007E-2</v>
      </c>
      <c r="H14" s="22"/>
      <c r="I14" s="21"/>
      <c r="J14" s="21"/>
      <c r="K14" s="21"/>
      <c r="L14" s="21"/>
      <c r="M14" s="21"/>
      <c r="N14" s="21"/>
      <c r="O14" s="21"/>
    </row>
    <row r="15" spans="1:15" ht="15.75" thickBot="1" x14ac:dyDescent="0.3">
      <c r="A15" s="10" t="s">
        <v>94</v>
      </c>
      <c r="B15" s="1" t="s">
        <v>19</v>
      </c>
      <c r="C15" s="4">
        <v>12</v>
      </c>
      <c r="D15" s="2">
        <v>74</v>
      </c>
      <c r="E15" s="4">
        <f t="shared" si="0"/>
        <v>888</v>
      </c>
      <c r="F15" s="4">
        <f t="shared" si="1"/>
        <v>62.160000000000004</v>
      </c>
      <c r="G15" s="11">
        <v>7.0000000000000007E-2</v>
      </c>
      <c r="H15" s="22"/>
      <c r="I15" s="21"/>
      <c r="J15" s="21"/>
      <c r="K15" s="21"/>
      <c r="L15" s="21"/>
      <c r="M15" s="21"/>
      <c r="N15" s="21"/>
      <c r="O15" s="21"/>
    </row>
    <row r="16" spans="1:15" ht="15.75" thickBot="1" x14ac:dyDescent="0.3">
      <c r="A16" s="10" t="s">
        <v>95</v>
      </c>
      <c r="B16" s="1" t="s">
        <v>20</v>
      </c>
      <c r="C16" s="4">
        <v>19</v>
      </c>
      <c r="D16" s="2">
        <v>111</v>
      </c>
      <c r="E16" s="4">
        <f t="shared" si="0"/>
        <v>2109</v>
      </c>
      <c r="F16" s="4">
        <f t="shared" si="1"/>
        <v>147.63000000000002</v>
      </c>
      <c r="G16" s="11">
        <v>7.0000000000000007E-2</v>
      </c>
      <c r="H16" s="22"/>
      <c r="I16" s="21"/>
      <c r="J16" s="21"/>
      <c r="K16" s="21"/>
      <c r="L16" s="21"/>
      <c r="M16" s="21"/>
      <c r="N16" s="21"/>
      <c r="O16" s="21"/>
    </row>
    <row r="17" spans="1:15" ht="15.75" thickBot="1" x14ac:dyDescent="0.3">
      <c r="A17" s="10" t="s">
        <v>96</v>
      </c>
      <c r="B17" s="1" t="s">
        <v>21</v>
      </c>
      <c r="C17" s="4">
        <v>17</v>
      </c>
      <c r="D17" s="2">
        <v>132</v>
      </c>
      <c r="E17" s="4">
        <f t="shared" si="0"/>
        <v>2244</v>
      </c>
      <c r="F17" s="4">
        <f t="shared" si="1"/>
        <v>157.08000000000001</v>
      </c>
      <c r="G17" s="11">
        <v>7.0000000000000007E-2</v>
      </c>
      <c r="H17" s="22"/>
      <c r="I17" s="21"/>
      <c r="J17" s="21"/>
      <c r="K17" s="21"/>
      <c r="L17" s="21"/>
      <c r="M17" s="21"/>
      <c r="N17" s="21"/>
      <c r="O17" s="21"/>
    </row>
    <row r="18" spans="1:15" ht="15.75" thickBot="1" x14ac:dyDescent="0.3">
      <c r="A18" s="10" t="s">
        <v>97</v>
      </c>
      <c r="B18" s="1" t="s">
        <v>22</v>
      </c>
      <c r="C18" s="4">
        <v>19</v>
      </c>
      <c r="D18" s="2">
        <v>168</v>
      </c>
      <c r="E18" s="4">
        <f t="shared" si="0"/>
        <v>3192</v>
      </c>
      <c r="F18" s="4">
        <f t="shared" si="1"/>
        <v>223.44000000000003</v>
      </c>
      <c r="G18" s="11">
        <v>7.0000000000000007E-2</v>
      </c>
      <c r="H18" s="22"/>
      <c r="I18" s="21"/>
      <c r="J18" s="21"/>
      <c r="K18" s="21"/>
      <c r="L18" s="21"/>
      <c r="M18" s="21"/>
      <c r="N18" s="21"/>
      <c r="O18" s="21"/>
    </row>
    <row r="19" spans="1:15" ht="15.75" thickBot="1" x14ac:dyDescent="0.3">
      <c r="A19" s="10" t="s">
        <v>98</v>
      </c>
      <c r="B19" s="1" t="s">
        <v>23</v>
      </c>
      <c r="C19" s="4">
        <v>16</v>
      </c>
      <c r="D19" s="2">
        <v>187</v>
      </c>
      <c r="E19" s="4">
        <f t="shared" si="0"/>
        <v>2992</v>
      </c>
      <c r="F19" s="4">
        <f t="shared" si="1"/>
        <v>209.44000000000003</v>
      </c>
      <c r="G19" s="11">
        <v>7.0000000000000007E-2</v>
      </c>
      <c r="H19" s="22"/>
      <c r="I19" s="21"/>
      <c r="J19" s="21"/>
      <c r="K19" s="21"/>
      <c r="L19" s="21"/>
      <c r="M19" s="21"/>
      <c r="N19" s="21"/>
      <c r="O19" s="21"/>
    </row>
    <row r="20" spans="1:15" ht="15.75" thickBot="1" x14ac:dyDescent="0.3">
      <c r="A20" s="10" t="s">
        <v>99</v>
      </c>
      <c r="B20" s="1" t="s">
        <v>24</v>
      </c>
      <c r="C20" s="4">
        <v>18</v>
      </c>
      <c r="D20" s="2">
        <v>70</v>
      </c>
      <c r="E20" s="4">
        <f t="shared" si="0"/>
        <v>1260</v>
      </c>
      <c r="F20" s="4">
        <f t="shared" si="1"/>
        <v>88.2</v>
      </c>
      <c r="G20" s="11">
        <v>7.0000000000000007E-2</v>
      </c>
      <c r="H20" s="22"/>
      <c r="I20" s="21"/>
      <c r="J20" s="21"/>
      <c r="K20" s="21"/>
      <c r="L20" s="21"/>
      <c r="M20" s="21"/>
      <c r="N20" s="21"/>
      <c r="O20" s="21"/>
    </row>
    <row r="21" spans="1:15" ht="15.75" thickBot="1" x14ac:dyDescent="0.3">
      <c r="A21" s="10" t="s">
        <v>100</v>
      </c>
      <c r="B21" s="1" t="s">
        <v>25</v>
      </c>
      <c r="C21" s="4">
        <v>16.5</v>
      </c>
      <c r="D21" s="2">
        <v>138</v>
      </c>
      <c r="E21" s="4">
        <f t="shared" si="0"/>
        <v>2277</v>
      </c>
      <c r="F21" s="4">
        <f t="shared" si="1"/>
        <v>159.39000000000001</v>
      </c>
      <c r="G21" s="11">
        <v>7.0000000000000007E-2</v>
      </c>
      <c r="H21" s="22"/>
      <c r="I21" s="21"/>
      <c r="J21" s="21"/>
      <c r="K21" s="21"/>
      <c r="L21" s="21"/>
      <c r="M21" s="21"/>
      <c r="N21" s="21"/>
      <c r="O21" s="21"/>
    </row>
    <row r="22" spans="1:15" ht="15.75" thickBot="1" x14ac:dyDescent="0.3">
      <c r="A22" s="10" t="s">
        <v>101</v>
      </c>
      <c r="B22" s="1" t="s">
        <v>26</v>
      </c>
      <c r="C22" s="4">
        <v>13</v>
      </c>
      <c r="D22" s="2">
        <v>72</v>
      </c>
      <c r="E22" s="4">
        <f t="shared" si="0"/>
        <v>936</v>
      </c>
      <c r="F22" s="4">
        <f t="shared" si="1"/>
        <v>65.52000000000001</v>
      </c>
      <c r="G22" s="11">
        <v>7.0000000000000007E-2</v>
      </c>
      <c r="H22" s="22"/>
      <c r="I22" s="21"/>
      <c r="J22" s="21"/>
      <c r="K22" s="21"/>
      <c r="L22" s="21"/>
      <c r="M22" s="21"/>
      <c r="N22" s="21"/>
      <c r="O22" s="21"/>
    </row>
    <row r="23" spans="1:15" ht="15.75" thickBot="1" x14ac:dyDescent="0.3">
      <c r="A23" s="10" t="s">
        <v>102</v>
      </c>
      <c r="B23" s="1" t="s">
        <v>27</v>
      </c>
      <c r="C23" s="4">
        <v>12</v>
      </c>
      <c r="D23" s="2">
        <v>130</v>
      </c>
      <c r="E23" s="4">
        <f t="shared" si="0"/>
        <v>1560</v>
      </c>
      <c r="F23" s="4">
        <f t="shared" si="1"/>
        <v>109.20000000000002</v>
      </c>
      <c r="G23" s="11">
        <v>7.0000000000000007E-2</v>
      </c>
      <c r="H23" s="22"/>
      <c r="I23" s="21"/>
      <c r="J23" s="21"/>
      <c r="K23" s="21"/>
      <c r="L23" s="21"/>
      <c r="M23" s="21"/>
      <c r="N23" s="21"/>
      <c r="O23" s="21"/>
    </row>
    <row r="24" spans="1:15" ht="15.75" thickBot="1" x14ac:dyDescent="0.3">
      <c r="A24" s="10" t="s">
        <v>103</v>
      </c>
      <c r="B24" s="1" t="s">
        <v>28</v>
      </c>
      <c r="C24" s="4">
        <v>18</v>
      </c>
      <c r="D24" s="2">
        <v>208</v>
      </c>
      <c r="E24" s="4">
        <f t="shared" si="0"/>
        <v>3744</v>
      </c>
      <c r="F24" s="4">
        <f t="shared" si="1"/>
        <v>262.08000000000004</v>
      </c>
      <c r="G24" s="11">
        <v>7.0000000000000007E-2</v>
      </c>
      <c r="H24" s="22"/>
      <c r="I24" s="21"/>
      <c r="J24" s="21"/>
      <c r="K24" s="21"/>
      <c r="L24" s="21"/>
      <c r="M24" s="21"/>
      <c r="N24" s="21"/>
      <c r="O24" s="21"/>
    </row>
    <row r="25" spans="1:15" ht="15.75" thickBot="1" x14ac:dyDescent="0.3">
      <c r="A25" s="10" t="s">
        <v>104</v>
      </c>
      <c r="B25" s="1" t="s">
        <v>29</v>
      </c>
      <c r="C25" s="4">
        <v>22</v>
      </c>
      <c r="D25" s="2">
        <v>97</v>
      </c>
      <c r="E25" s="4">
        <f t="shared" si="0"/>
        <v>2134</v>
      </c>
      <c r="F25" s="4">
        <f t="shared" si="1"/>
        <v>149.38000000000002</v>
      </c>
      <c r="G25" s="11">
        <v>7.0000000000000007E-2</v>
      </c>
      <c r="H25" s="22"/>
      <c r="I25" s="21"/>
      <c r="J25" s="21"/>
      <c r="K25" s="21"/>
      <c r="L25" s="21"/>
      <c r="M25" s="21"/>
      <c r="N25" s="21"/>
      <c r="O25" s="21"/>
    </row>
    <row r="26" spans="1:15" ht="15.75" thickBot="1" x14ac:dyDescent="0.3">
      <c r="A26" s="10" t="s">
        <v>105</v>
      </c>
      <c r="B26" s="1" t="s">
        <v>30</v>
      </c>
      <c r="C26" s="4">
        <v>32</v>
      </c>
      <c r="D26" s="2">
        <v>199</v>
      </c>
      <c r="E26" s="4">
        <f t="shared" si="0"/>
        <v>6368</v>
      </c>
      <c r="F26" s="4">
        <f t="shared" si="1"/>
        <v>445.76000000000005</v>
      </c>
      <c r="G26" s="11">
        <v>7.0000000000000007E-2</v>
      </c>
      <c r="H26" s="22"/>
      <c r="I26" s="21"/>
      <c r="J26" s="21"/>
      <c r="K26" s="21"/>
      <c r="L26" s="21"/>
      <c r="M26" s="21"/>
      <c r="N26" s="21"/>
      <c r="O26" s="21"/>
    </row>
    <row r="27" spans="1:15" ht="15.75" thickBot="1" x14ac:dyDescent="0.3">
      <c r="A27" s="10" t="s">
        <v>106</v>
      </c>
      <c r="B27" s="1" t="s">
        <v>27</v>
      </c>
      <c r="C27" s="4">
        <v>11</v>
      </c>
      <c r="D27" s="2">
        <v>160</v>
      </c>
      <c r="E27" s="4">
        <f t="shared" si="0"/>
        <v>1760</v>
      </c>
      <c r="F27" s="4">
        <f t="shared" si="1"/>
        <v>123.20000000000002</v>
      </c>
      <c r="G27" s="11">
        <v>7.0000000000000007E-2</v>
      </c>
      <c r="H27" s="22"/>
      <c r="I27" s="21"/>
      <c r="J27" s="21"/>
      <c r="K27" s="21"/>
      <c r="L27" s="21"/>
      <c r="M27" s="21"/>
      <c r="N27" s="21"/>
      <c r="O27" s="21"/>
    </row>
    <row r="28" spans="1:15" ht="15.75" thickBot="1" x14ac:dyDescent="0.3">
      <c r="A28" s="10" t="s">
        <v>107</v>
      </c>
      <c r="B28" s="1" t="s">
        <v>31</v>
      </c>
      <c r="C28" s="4">
        <v>14</v>
      </c>
      <c r="D28" s="2">
        <v>156</v>
      </c>
      <c r="E28" s="4">
        <f t="shared" si="0"/>
        <v>2184</v>
      </c>
      <c r="F28" s="4">
        <f t="shared" si="1"/>
        <v>152.88000000000002</v>
      </c>
      <c r="G28" s="11">
        <v>7.0000000000000007E-2</v>
      </c>
      <c r="H28" s="22"/>
      <c r="I28" s="21"/>
      <c r="J28" s="21"/>
      <c r="K28" s="21"/>
      <c r="L28" s="21"/>
      <c r="M28" s="21"/>
      <c r="N28" s="21"/>
      <c r="O28" s="21"/>
    </row>
    <row r="29" spans="1:15" ht="15.75" thickBot="1" x14ac:dyDescent="0.3">
      <c r="A29" s="10" t="s">
        <v>108</v>
      </c>
      <c r="B29" s="1" t="s">
        <v>32</v>
      </c>
      <c r="C29" s="4">
        <v>15.5</v>
      </c>
      <c r="D29" s="2">
        <v>117</v>
      </c>
      <c r="E29" s="4">
        <f t="shared" si="0"/>
        <v>1813.5</v>
      </c>
      <c r="F29" s="4">
        <f t="shared" si="1"/>
        <v>126.94500000000001</v>
      </c>
      <c r="G29" s="11">
        <v>7.0000000000000007E-2</v>
      </c>
      <c r="H29" s="22"/>
      <c r="I29" s="21"/>
      <c r="J29" s="21"/>
      <c r="K29" s="21"/>
      <c r="L29" s="21"/>
      <c r="M29" s="21"/>
      <c r="N29" s="21"/>
      <c r="O29" s="21"/>
    </row>
    <row r="30" spans="1:15" ht="15.75" thickBot="1" x14ac:dyDescent="0.3">
      <c r="A30" s="10" t="s">
        <v>109</v>
      </c>
      <c r="B30" s="1" t="s">
        <v>33</v>
      </c>
      <c r="C30" s="4">
        <v>15</v>
      </c>
      <c r="D30" s="2">
        <v>76</v>
      </c>
      <c r="E30" s="4">
        <f t="shared" si="0"/>
        <v>1140</v>
      </c>
      <c r="F30" s="4">
        <f t="shared" si="1"/>
        <v>79.800000000000011</v>
      </c>
      <c r="G30" s="11">
        <v>7.0000000000000007E-2</v>
      </c>
      <c r="H30" s="22"/>
      <c r="I30" s="21"/>
      <c r="J30" s="21"/>
      <c r="K30" s="21"/>
      <c r="L30" s="21"/>
      <c r="M30" s="21"/>
      <c r="N30" s="21"/>
      <c r="O30" s="21"/>
    </row>
    <row r="31" spans="1:15" ht="15.75" thickBot="1" x14ac:dyDescent="0.3">
      <c r="A31" s="10" t="s">
        <v>110</v>
      </c>
      <c r="B31" s="1" t="s">
        <v>34</v>
      </c>
      <c r="C31" s="4">
        <v>12</v>
      </c>
      <c r="D31" s="2">
        <v>175</v>
      </c>
      <c r="E31" s="4">
        <f t="shared" si="0"/>
        <v>2100</v>
      </c>
      <c r="F31" s="4">
        <f t="shared" si="1"/>
        <v>147</v>
      </c>
      <c r="G31" s="11">
        <v>7.0000000000000007E-2</v>
      </c>
      <c r="H31" s="22"/>
      <c r="I31" s="21"/>
      <c r="J31" s="21"/>
      <c r="K31" s="21"/>
      <c r="L31" s="21"/>
      <c r="M31" s="21"/>
      <c r="N31" s="21"/>
      <c r="O31" s="21"/>
    </row>
    <row r="32" spans="1:15" ht="15.75" thickBot="1" x14ac:dyDescent="0.3">
      <c r="A32" s="10" t="s">
        <v>111</v>
      </c>
      <c r="B32" s="1" t="s">
        <v>35</v>
      </c>
      <c r="C32" s="4">
        <v>15.5</v>
      </c>
      <c r="D32" s="2">
        <v>87</v>
      </c>
      <c r="E32" s="4">
        <f t="shared" si="0"/>
        <v>1348.5</v>
      </c>
      <c r="F32" s="4">
        <f t="shared" si="1"/>
        <v>94.39500000000001</v>
      </c>
      <c r="G32" s="11">
        <v>7.0000000000000007E-2</v>
      </c>
      <c r="H32" s="22"/>
      <c r="I32" s="21"/>
      <c r="J32" s="21"/>
      <c r="K32" s="21"/>
      <c r="L32" s="21"/>
      <c r="M32" s="21"/>
      <c r="N32" s="21"/>
      <c r="O32" s="21"/>
    </row>
    <row r="33" spans="1:15" ht="15.75" thickBot="1" x14ac:dyDescent="0.3">
      <c r="A33" s="10" t="s">
        <v>112</v>
      </c>
      <c r="B33" s="1" t="s">
        <v>36</v>
      </c>
      <c r="C33" s="4">
        <v>11.75</v>
      </c>
      <c r="D33" s="2">
        <v>130</v>
      </c>
      <c r="E33" s="4">
        <f t="shared" si="0"/>
        <v>1527.5</v>
      </c>
      <c r="F33" s="4">
        <f t="shared" si="1"/>
        <v>106.92500000000001</v>
      </c>
      <c r="G33" s="11">
        <v>7.0000000000000007E-2</v>
      </c>
      <c r="H33" s="22"/>
      <c r="I33" s="21"/>
      <c r="J33" s="21"/>
      <c r="K33" s="21"/>
      <c r="L33" s="21"/>
      <c r="M33" s="21"/>
      <c r="N33" s="21"/>
      <c r="O33" s="21"/>
    </row>
    <row r="34" spans="1:15" ht="15.75" thickBot="1" x14ac:dyDescent="0.3">
      <c r="A34" s="10" t="s">
        <v>113</v>
      </c>
      <c r="B34" s="1" t="s">
        <v>37</v>
      </c>
      <c r="C34" s="4">
        <v>12</v>
      </c>
      <c r="D34" s="2">
        <v>185</v>
      </c>
      <c r="E34" s="4">
        <f t="shared" si="0"/>
        <v>2220</v>
      </c>
      <c r="F34" s="4">
        <f t="shared" si="1"/>
        <v>155.4</v>
      </c>
      <c r="G34" s="11">
        <v>7.0000000000000007E-2</v>
      </c>
      <c r="H34" s="22"/>
      <c r="I34" s="21"/>
      <c r="J34" s="21"/>
      <c r="K34" s="21"/>
      <c r="L34" s="21"/>
      <c r="M34" s="21"/>
      <c r="N34" s="21"/>
      <c r="O34" s="21"/>
    </row>
    <row r="35" spans="1:15" ht="15.75" thickBot="1" x14ac:dyDescent="0.3">
      <c r="A35" s="10" t="s">
        <v>114</v>
      </c>
      <c r="B35" s="1" t="s">
        <v>38</v>
      </c>
      <c r="C35" s="4">
        <v>19</v>
      </c>
      <c r="D35" s="2">
        <v>152</v>
      </c>
      <c r="E35" s="4">
        <f t="shared" si="0"/>
        <v>2888</v>
      </c>
      <c r="F35" s="4">
        <f t="shared" si="1"/>
        <v>202.16000000000003</v>
      </c>
      <c r="G35" s="11">
        <v>7.0000000000000007E-2</v>
      </c>
      <c r="H35" s="22"/>
      <c r="I35" s="21"/>
      <c r="J35" s="21"/>
      <c r="K35" s="21"/>
      <c r="L35" s="21"/>
      <c r="M35" s="21"/>
      <c r="N35" s="21"/>
      <c r="O35" s="21"/>
    </row>
    <row r="36" spans="1:15" ht="15.75" thickBot="1" x14ac:dyDescent="0.3">
      <c r="A36" s="10" t="s">
        <v>115</v>
      </c>
      <c r="B36" s="1" t="s">
        <v>39</v>
      </c>
      <c r="C36" s="4">
        <v>17</v>
      </c>
      <c r="D36" s="2">
        <v>186</v>
      </c>
      <c r="E36" s="4">
        <f t="shared" si="0"/>
        <v>3162</v>
      </c>
      <c r="F36" s="4">
        <f t="shared" si="1"/>
        <v>221.34000000000003</v>
      </c>
      <c r="G36" s="11">
        <v>7.0000000000000007E-2</v>
      </c>
      <c r="H36" s="1"/>
    </row>
    <row r="37" spans="1:15" ht="15.75" thickBot="1" x14ac:dyDescent="0.3">
      <c r="A37" s="10" t="s">
        <v>116</v>
      </c>
      <c r="B37" s="1" t="s">
        <v>40</v>
      </c>
      <c r="C37" s="4">
        <v>19</v>
      </c>
      <c r="D37" s="2">
        <v>96</v>
      </c>
      <c r="E37" s="4">
        <f t="shared" si="0"/>
        <v>1824</v>
      </c>
      <c r="F37" s="4">
        <f t="shared" si="1"/>
        <v>127.68</v>
      </c>
      <c r="G37" s="11">
        <v>7.0000000000000007E-2</v>
      </c>
      <c r="H37" s="1"/>
    </row>
    <row r="38" spans="1:15" ht="15.75" thickBot="1" x14ac:dyDescent="0.3">
      <c r="A38" s="10" t="s">
        <v>117</v>
      </c>
      <c r="B38" s="1" t="s">
        <v>41</v>
      </c>
      <c r="C38" s="4">
        <v>16</v>
      </c>
      <c r="D38" s="2">
        <v>100</v>
      </c>
      <c r="E38" s="4">
        <f t="shared" si="0"/>
        <v>1600</v>
      </c>
      <c r="F38" s="4">
        <f t="shared" si="1"/>
        <v>112.00000000000001</v>
      </c>
      <c r="G38" s="11">
        <v>7.0000000000000007E-2</v>
      </c>
      <c r="H38" s="1"/>
    </row>
    <row r="39" spans="1:15" ht="15.75" thickBot="1" x14ac:dyDescent="0.3">
      <c r="A39" s="10" t="s">
        <v>118</v>
      </c>
      <c r="B39" s="1" t="s">
        <v>42</v>
      </c>
      <c r="C39" s="4">
        <v>18</v>
      </c>
      <c r="D39" s="2">
        <v>124</v>
      </c>
      <c r="E39" s="4">
        <f t="shared" si="0"/>
        <v>2232</v>
      </c>
      <c r="F39" s="4">
        <f t="shared" si="1"/>
        <v>156.24</v>
      </c>
      <c r="G39" s="11">
        <v>7.0000000000000007E-2</v>
      </c>
      <c r="H39" s="1"/>
    </row>
    <row r="40" spans="1:15" ht="15.75" thickBot="1" x14ac:dyDescent="0.3">
      <c r="A40" s="10" t="s">
        <v>119</v>
      </c>
      <c r="B40" s="1" t="s">
        <v>43</v>
      </c>
      <c r="C40" s="4">
        <v>15.5</v>
      </c>
      <c r="D40" s="2">
        <v>71</v>
      </c>
      <c r="E40" s="4">
        <f t="shared" si="0"/>
        <v>1100.5</v>
      </c>
      <c r="F40" s="4">
        <f t="shared" si="1"/>
        <v>77.035000000000011</v>
      </c>
      <c r="G40" s="11">
        <v>7.0000000000000007E-2</v>
      </c>
      <c r="H40" s="1"/>
    </row>
    <row r="41" spans="1:15" ht="15.75" thickBot="1" x14ac:dyDescent="0.3">
      <c r="A41" s="10" t="s">
        <v>120</v>
      </c>
      <c r="B41" s="1" t="s">
        <v>44</v>
      </c>
      <c r="C41" s="4">
        <v>14</v>
      </c>
      <c r="D41" s="2">
        <v>83</v>
      </c>
      <c r="E41" s="4">
        <f t="shared" si="0"/>
        <v>1162</v>
      </c>
      <c r="F41" s="4">
        <f t="shared" si="1"/>
        <v>81.34</v>
      </c>
      <c r="G41" s="11">
        <v>7.0000000000000007E-2</v>
      </c>
      <c r="H41" s="1"/>
    </row>
    <row r="42" spans="1:15" ht="15.75" thickBot="1" x14ac:dyDescent="0.3">
      <c r="A42" s="10" t="s">
        <v>121</v>
      </c>
      <c r="B42" s="1" t="s">
        <v>45</v>
      </c>
      <c r="C42" s="4">
        <v>12</v>
      </c>
      <c r="D42" s="2">
        <v>168</v>
      </c>
      <c r="E42" s="4">
        <f t="shared" si="0"/>
        <v>2016</v>
      </c>
      <c r="F42" s="4">
        <f t="shared" si="1"/>
        <v>141.12</v>
      </c>
      <c r="G42" s="11">
        <v>7.0000000000000007E-2</v>
      </c>
      <c r="H42" s="1"/>
    </row>
    <row r="43" spans="1:15" ht="15.75" thickBot="1" x14ac:dyDescent="0.3">
      <c r="A43" s="10" t="s">
        <v>122</v>
      </c>
      <c r="B43" s="1" t="s">
        <v>46</v>
      </c>
      <c r="C43" s="4">
        <v>11</v>
      </c>
      <c r="D43" s="2">
        <v>165</v>
      </c>
      <c r="E43" s="4">
        <f t="shared" si="0"/>
        <v>1815</v>
      </c>
      <c r="F43" s="4">
        <f t="shared" si="1"/>
        <v>127.05000000000001</v>
      </c>
      <c r="G43" s="11">
        <v>7.0000000000000007E-2</v>
      </c>
      <c r="H43" s="1"/>
    </row>
    <row r="44" spans="1:15" ht="15.75" thickBot="1" x14ac:dyDescent="0.3">
      <c r="A44" s="10" t="s">
        <v>123</v>
      </c>
      <c r="B44" s="1" t="s">
        <v>47</v>
      </c>
      <c r="C44" s="4">
        <v>12</v>
      </c>
      <c r="D44" s="2">
        <v>145</v>
      </c>
      <c r="E44" s="4">
        <f t="shared" si="0"/>
        <v>1740</v>
      </c>
      <c r="F44" s="4">
        <f t="shared" si="1"/>
        <v>121.80000000000001</v>
      </c>
      <c r="G44" s="11">
        <v>7.0000000000000007E-2</v>
      </c>
      <c r="H44" s="1"/>
    </row>
    <row r="45" spans="1:15" ht="15.75" thickBot="1" x14ac:dyDescent="0.3">
      <c r="A45" s="10" t="s">
        <v>124</v>
      </c>
      <c r="B45" s="1" t="s">
        <v>48</v>
      </c>
      <c r="C45" s="4">
        <v>15.5</v>
      </c>
      <c r="D45" s="2">
        <v>133</v>
      </c>
      <c r="E45" s="4">
        <f t="shared" si="0"/>
        <v>2061.5</v>
      </c>
      <c r="F45" s="4">
        <f t="shared" si="1"/>
        <v>144.30500000000001</v>
      </c>
      <c r="G45" s="11">
        <v>7.0000000000000007E-2</v>
      </c>
      <c r="H45" s="1"/>
    </row>
    <row r="46" spans="1:15" ht="15.75" thickBot="1" x14ac:dyDescent="0.3">
      <c r="A46" s="10" t="s">
        <v>125</v>
      </c>
      <c r="B46" s="1" t="s">
        <v>49</v>
      </c>
      <c r="C46" s="4">
        <v>11.75</v>
      </c>
      <c r="D46" s="2">
        <v>92</v>
      </c>
      <c r="E46" s="4">
        <f t="shared" si="0"/>
        <v>1081</v>
      </c>
      <c r="F46" s="4">
        <f t="shared" si="1"/>
        <v>75.67</v>
      </c>
      <c r="G46" s="11">
        <v>7.0000000000000007E-2</v>
      </c>
      <c r="H46" s="1"/>
    </row>
    <row r="47" spans="1:15" ht="15.75" thickBot="1" x14ac:dyDescent="0.3">
      <c r="A47" s="10" t="s">
        <v>126</v>
      </c>
      <c r="B47" s="1" t="s">
        <v>50</v>
      </c>
      <c r="C47" s="4">
        <v>12</v>
      </c>
      <c r="D47" s="2">
        <v>74</v>
      </c>
      <c r="E47" s="4">
        <f t="shared" si="0"/>
        <v>888</v>
      </c>
      <c r="F47" s="4">
        <f t="shared" si="1"/>
        <v>62.160000000000004</v>
      </c>
      <c r="G47" s="11">
        <v>7.0000000000000007E-2</v>
      </c>
      <c r="H47" s="1"/>
    </row>
    <row r="48" spans="1:15" ht="15.75" thickBot="1" x14ac:dyDescent="0.3">
      <c r="A48" s="10" t="s">
        <v>127</v>
      </c>
      <c r="B48" s="1" t="s">
        <v>51</v>
      </c>
      <c r="C48" s="4">
        <v>19</v>
      </c>
      <c r="D48" s="2">
        <v>201</v>
      </c>
      <c r="E48" s="4">
        <f t="shared" si="0"/>
        <v>3819</v>
      </c>
      <c r="F48" s="4">
        <f t="shared" si="1"/>
        <v>267.33000000000004</v>
      </c>
      <c r="G48" s="11">
        <v>7.0000000000000007E-2</v>
      </c>
      <c r="H48" s="1"/>
    </row>
    <row r="49" spans="1:8" ht="15.75" thickBot="1" x14ac:dyDescent="0.3">
      <c r="A49" s="10" t="s">
        <v>128</v>
      </c>
      <c r="B49" s="1" t="s">
        <v>52</v>
      </c>
      <c r="C49" s="4">
        <v>17</v>
      </c>
      <c r="D49" s="2">
        <v>112</v>
      </c>
      <c r="E49" s="4">
        <f t="shared" si="0"/>
        <v>1904</v>
      </c>
      <c r="F49" s="4">
        <f t="shared" si="1"/>
        <v>133.28</v>
      </c>
      <c r="G49" s="11">
        <v>7.0000000000000007E-2</v>
      </c>
      <c r="H49" s="1"/>
    </row>
    <row r="50" spans="1:8" ht="15.75" thickBot="1" x14ac:dyDescent="0.3">
      <c r="A50" s="10" t="s">
        <v>129</v>
      </c>
      <c r="B50" s="1" t="s">
        <v>53</v>
      </c>
      <c r="C50" s="4">
        <v>19</v>
      </c>
      <c r="D50" s="2">
        <v>166</v>
      </c>
      <c r="E50" s="4">
        <f t="shared" si="0"/>
        <v>3154</v>
      </c>
      <c r="F50" s="4">
        <f t="shared" si="1"/>
        <v>220.78000000000003</v>
      </c>
      <c r="G50" s="11">
        <v>7.0000000000000007E-2</v>
      </c>
      <c r="H50" s="1"/>
    </row>
    <row r="51" spans="1:8" ht="15.75" thickBot="1" x14ac:dyDescent="0.3">
      <c r="A51" s="10" t="s">
        <v>130</v>
      </c>
      <c r="B51" s="1" t="s">
        <v>54</v>
      </c>
      <c r="C51" s="4">
        <v>16</v>
      </c>
      <c r="D51" s="2">
        <v>160</v>
      </c>
      <c r="E51" s="4">
        <f t="shared" si="0"/>
        <v>2560</v>
      </c>
      <c r="F51" s="4">
        <f t="shared" si="1"/>
        <v>179.20000000000002</v>
      </c>
      <c r="G51" s="11">
        <v>7.0000000000000007E-2</v>
      </c>
      <c r="H51" s="1"/>
    </row>
    <row r="52" spans="1:8" ht="15.75" thickBot="1" x14ac:dyDescent="0.3">
      <c r="A52" s="10" t="s">
        <v>131</v>
      </c>
      <c r="B52" s="1" t="s">
        <v>55</v>
      </c>
      <c r="C52" s="4">
        <v>18</v>
      </c>
      <c r="D52" s="2">
        <v>117</v>
      </c>
      <c r="E52" s="4">
        <f t="shared" si="0"/>
        <v>2106</v>
      </c>
      <c r="F52" s="4">
        <f t="shared" si="1"/>
        <v>147.42000000000002</v>
      </c>
      <c r="G52" s="11">
        <v>7.0000000000000007E-2</v>
      </c>
      <c r="H52" s="1"/>
    </row>
    <row r="53" spans="1:8" ht="15.75" thickBot="1" x14ac:dyDescent="0.3">
      <c r="A53" s="10" t="s">
        <v>132</v>
      </c>
      <c r="B53" s="1" t="s">
        <v>56</v>
      </c>
      <c r="C53" s="4">
        <v>11.5</v>
      </c>
      <c r="D53" s="2">
        <v>152</v>
      </c>
      <c r="E53" s="4">
        <f t="shared" si="0"/>
        <v>1748</v>
      </c>
      <c r="F53" s="4">
        <f t="shared" si="1"/>
        <v>122.36000000000001</v>
      </c>
      <c r="G53" s="11">
        <v>7.0000000000000007E-2</v>
      </c>
      <c r="H53" s="1"/>
    </row>
    <row r="54" spans="1:8" ht="15.75" thickBot="1" x14ac:dyDescent="0.3">
      <c r="A54" s="10" t="s">
        <v>133</v>
      </c>
      <c r="B54" s="1" t="s">
        <v>57</v>
      </c>
      <c r="C54" s="4">
        <v>15.5</v>
      </c>
      <c r="D54" s="2">
        <v>129</v>
      </c>
      <c r="E54" s="4">
        <f t="shared" si="0"/>
        <v>1999.5</v>
      </c>
      <c r="F54" s="4">
        <f t="shared" si="1"/>
        <v>139.965</v>
      </c>
      <c r="G54" s="11">
        <v>7.0000000000000007E-2</v>
      </c>
      <c r="H54" s="1"/>
    </row>
    <row r="55" spans="1:8" ht="15.75" thickBot="1" x14ac:dyDescent="0.3">
      <c r="A55" s="10" t="s">
        <v>134</v>
      </c>
      <c r="B55" s="1" t="s">
        <v>58</v>
      </c>
      <c r="C55" s="4">
        <v>15.5</v>
      </c>
      <c r="D55" s="2">
        <v>74</v>
      </c>
      <c r="E55" s="4">
        <f t="shared" si="0"/>
        <v>1147</v>
      </c>
      <c r="F55" s="4">
        <f t="shared" si="1"/>
        <v>80.290000000000006</v>
      </c>
      <c r="G55" s="11">
        <v>7.0000000000000007E-2</v>
      </c>
      <c r="H55" s="1"/>
    </row>
    <row r="56" spans="1:8" ht="15.75" thickBot="1" x14ac:dyDescent="0.3">
      <c r="A56" s="10" t="s">
        <v>135</v>
      </c>
      <c r="B56" s="1" t="s">
        <v>59</v>
      </c>
      <c r="C56" s="4">
        <v>12</v>
      </c>
      <c r="D56" s="2">
        <v>111</v>
      </c>
      <c r="E56" s="4">
        <f t="shared" si="0"/>
        <v>1332</v>
      </c>
      <c r="F56" s="4">
        <f t="shared" si="1"/>
        <v>93.240000000000009</v>
      </c>
      <c r="G56" s="11">
        <v>7.0000000000000007E-2</v>
      </c>
      <c r="H56" s="1"/>
    </row>
    <row r="57" spans="1:8" ht="15.75" thickBot="1" x14ac:dyDescent="0.3">
      <c r="A57" s="10" t="s">
        <v>136</v>
      </c>
      <c r="B57" s="1" t="s">
        <v>60</v>
      </c>
      <c r="C57" s="4">
        <v>15.5</v>
      </c>
      <c r="D57" s="2">
        <v>132</v>
      </c>
      <c r="E57" s="4">
        <f t="shared" si="0"/>
        <v>2046</v>
      </c>
      <c r="F57" s="4">
        <f t="shared" si="1"/>
        <v>143.22000000000003</v>
      </c>
      <c r="G57" s="11">
        <v>7.0000000000000007E-2</v>
      </c>
      <c r="H57" s="1"/>
    </row>
    <row r="58" spans="1:8" ht="15.75" thickBot="1" x14ac:dyDescent="0.3">
      <c r="A58" s="10" t="s">
        <v>137</v>
      </c>
      <c r="B58" s="1" t="s">
        <v>61</v>
      </c>
      <c r="C58" s="4">
        <v>11.75</v>
      </c>
      <c r="D58" s="2">
        <v>168</v>
      </c>
      <c r="E58" s="4">
        <f t="shared" si="0"/>
        <v>1974</v>
      </c>
      <c r="F58" s="4">
        <f t="shared" si="1"/>
        <v>138.18</v>
      </c>
      <c r="G58" s="11">
        <v>7.0000000000000007E-2</v>
      </c>
      <c r="H58" s="1"/>
    </row>
    <row r="59" spans="1:8" ht="15.75" thickBot="1" x14ac:dyDescent="0.3">
      <c r="A59" s="10" t="s">
        <v>138</v>
      </c>
      <c r="B59" s="1" t="s">
        <v>62</v>
      </c>
      <c r="C59" s="4">
        <v>12</v>
      </c>
      <c r="D59" s="2">
        <v>187</v>
      </c>
      <c r="E59" s="4">
        <f t="shared" si="0"/>
        <v>2244</v>
      </c>
      <c r="F59" s="4">
        <f t="shared" si="1"/>
        <v>157.08000000000001</v>
      </c>
      <c r="G59" s="11">
        <v>7.0000000000000007E-2</v>
      </c>
      <c r="H59" s="1"/>
    </row>
    <row r="60" spans="1:8" ht="15.75" thickBot="1" x14ac:dyDescent="0.3">
      <c r="A60" s="10" t="s">
        <v>139</v>
      </c>
      <c r="B60" s="1" t="s">
        <v>63</v>
      </c>
      <c r="C60" s="4">
        <v>19</v>
      </c>
      <c r="D60" s="2">
        <v>70</v>
      </c>
      <c r="E60" s="4">
        <f t="shared" si="0"/>
        <v>1330</v>
      </c>
      <c r="F60" s="4">
        <f t="shared" si="1"/>
        <v>93.100000000000009</v>
      </c>
      <c r="G60" s="11">
        <v>7.0000000000000007E-2</v>
      </c>
      <c r="H60" s="1"/>
    </row>
    <row r="61" spans="1:8" ht="15.75" thickBot="1" x14ac:dyDescent="0.3">
      <c r="A61" s="10" t="s">
        <v>140</v>
      </c>
      <c r="B61" s="1" t="s">
        <v>64</v>
      </c>
      <c r="C61" s="4">
        <v>17</v>
      </c>
      <c r="D61" s="2">
        <v>138</v>
      </c>
      <c r="E61" s="4">
        <f t="shared" si="0"/>
        <v>2346</v>
      </c>
      <c r="F61" s="4">
        <f t="shared" si="1"/>
        <v>164.22000000000003</v>
      </c>
      <c r="G61" s="11">
        <v>7.0000000000000007E-2</v>
      </c>
      <c r="H61" s="1"/>
    </row>
    <row r="62" spans="1:8" ht="15.75" thickBot="1" x14ac:dyDescent="0.3">
      <c r="A62" s="10" t="s">
        <v>141</v>
      </c>
      <c r="B62" s="1" t="s">
        <v>65</v>
      </c>
      <c r="C62" s="4">
        <v>19</v>
      </c>
      <c r="D62" s="2">
        <v>72</v>
      </c>
      <c r="E62" s="4">
        <f t="shared" si="0"/>
        <v>1368</v>
      </c>
      <c r="F62" s="4">
        <f t="shared" si="1"/>
        <v>95.76</v>
      </c>
      <c r="G62" s="11">
        <v>7.0000000000000007E-2</v>
      </c>
      <c r="H62" s="1"/>
    </row>
    <row r="63" spans="1:8" ht="15.75" thickBot="1" x14ac:dyDescent="0.3">
      <c r="A63" s="10" t="s">
        <v>142</v>
      </c>
      <c r="B63" s="1" t="s">
        <v>66</v>
      </c>
      <c r="C63" s="4">
        <v>16</v>
      </c>
      <c r="D63" s="2">
        <v>130</v>
      </c>
      <c r="E63" s="4">
        <f t="shared" si="0"/>
        <v>2080</v>
      </c>
      <c r="F63" s="4">
        <f t="shared" si="1"/>
        <v>145.60000000000002</v>
      </c>
      <c r="G63" s="11">
        <v>7.0000000000000007E-2</v>
      </c>
      <c r="H63" s="1"/>
    </row>
    <row r="64" spans="1:8" ht="15.75" thickBot="1" x14ac:dyDescent="0.3">
      <c r="A64" s="10" t="s">
        <v>143</v>
      </c>
      <c r="B64" s="1" t="s">
        <v>67</v>
      </c>
      <c r="C64" s="4">
        <v>18</v>
      </c>
      <c r="D64" s="2">
        <v>208</v>
      </c>
      <c r="E64" s="4">
        <f t="shared" si="0"/>
        <v>3744</v>
      </c>
      <c r="F64" s="4">
        <f t="shared" si="1"/>
        <v>262.08000000000004</v>
      </c>
      <c r="G64" s="11">
        <v>7.0000000000000007E-2</v>
      </c>
      <c r="H64" s="1"/>
    </row>
    <row r="65" spans="1:8" ht="15.75" thickBot="1" x14ac:dyDescent="0.3">
      <c r="A65" s="10" t="s">
        <v>144</v>
      </c>
      <c r="B65" s="1" t="s">
        <v>68</v>
      </c>
      <c r="C65" s="4">
        <v>11</v>
      </c>
      <c r="D65" s="2">
        <v>97</v>
      </c>
      <c r="E65" s="4">
        <f t="shared" si="0"/>
        <v>1067</v>
      </c>
      <c r="F65" s="4">
        <f t="shared" si="1"/>
        <v>74.690000000000012</v>
      </c>
      <c r="G65" s="11">
        <v>7.0000000000000007E-2</v>
      </c>
      <c r="H65" s="1"/>
    </row>
    <row r="66" spans="1:8" ht="15.75" thickBot="1" x14ac:dyDescent="0.3">
      <c r="A66" s="10" t="s">
        <v>145</v>
      </c>
      <c r="B66" s="1" t="s">
        <v>69</v>
      </c>
      <c r="C66" s="4">
        <v>15.5</v>
      </c>
      <c r="D66" s="2">
        <v>199</v>
      </c>
      <c r="E66" s="4">
        <f t="shared" si="0"/>
        <v>3084.5</v>
      </c>
      <c r="F66" s="4">
        <f t="shared" si="1"/>
        <v>215.91500000000002</v>
      </c>
      <c r="G66" s="11">
        <v>7.0000000000000007E-2</v>
      </c>
      <c r="H66" s="1"/>
    </row>
    <row r="67" spans="1:8" ht="15.75" thickBot="1" x14ac:dyDescent="0.3">
      <c r="A67" s="10" t="s">
        <v>146</v>
      </c>
      <c r="B67" s="1" t="s">
        <v>70</v>
      </c>
      <c r="C67" s="4">
        <v>11</v>
      </c>
      <c r="D67" s="2">
        <v>160</v>
      </c>
      <c r="E67" s="4">
        <f t="shared" ref="E67:E71" si="2">C67*D67</f>
        <v>1760</v>
      </c>
      <c r="F67" s="4">
        <f t="shared" ref="F67:F71" si="3">E67*$G$2</f>
        <v>123.20000000000002</v>
      </c>
      <c r="G67" s="11">
        <v>7.0000000000000007E-2</v>
      </c>
      <c r="H67" s="1"/>
    </row>
    <row r="68" spans="1:8" ht="15.75" thickBot="1" x14ac:dyDescent="0.3">
      <c r="A68" s="10" t="s">
        <v>147</v>
      </c>
      <c r="B68" s="1" t="s">
        <v>71</v>
      </c>
      <c r="C68" s="4">
        <v>12</v>
      </c>
      <c r="D68" s="2">
        <v>156</v>
      </c>
      <c r="E68" s="4">
        <f t="shared" si="2"/>
        <v>1872</v>
      </c>
      <c r="F68" s="4">
        <f t="shared" si="3"/>
        <v>131.04000000000002</v>
      </c>
      <c r="G68" s="11">
        <v>7.0000000000000007E-2</v>
      </c>
      <c r="H68" s="1"/>
    </row>
    <row r="69" spans="1:8" ht="15.75" thickBot="1" x14ac:dyDescent="0.3">
      <c r="A69" s="10" t="s">
        <v>148</v>
      </c>
      <c r="B69" s="1" t="s">
        <v>72</v>
      </c>
      <c r="C69" s="4">
        <v>15.5</v>
      </c>
      <c r="D69" s="2">
        <v>117</v>
      </c>
      <c r="E69" s="4">
        <f t="shared" si="2"/>
        <v>1813.5</v>
      </c>
      <c r="F69" s="4">
        <f t="shared" si="3"/>
        <v>126.94500000000001</v>
      </c>
      <c r="G69" s="11">
        <v>7.0000000000000007E-2</v>
      </c>
      <c r="H69" s="1"/>
    </row>
    <row r="70" spans="1:8" ht="15.75" thickBot="1" x14ac:dyDescent="0.3">
      <c r="A70" s="10" t="s">
        <v>149</v>
      </c>
      <c r="B70" s="1" t="s">
        <v>73</v>
      </c>
      <c r="C70" s="4">
        <v>11</v>
      </c>
      <c r="D70" s="2">
        <v>76</v>
      </c>
      <c r="E70" s="4">
        <f t="shared" si="2"/>
        <v>836</v>
      </c>
      <c r="F70" s="4">
        <f t="shared" si="3"/>
        <v>58.52</v>
      </c>
      <c r="G70" s="11">
        <v>7.0000000000000007E-2</v>
      </c>
      <c r="H70" s="1"/>
    </row>
    <row r="71" spans="1:8" ht="15.75" thickBot="1" x14ac:dyDescent="0.3">
      <c r="A71" s="17" t="s">
        <v>150</v>
      </c>
      <c r="B71" s="15" t="s">
        <v>74</v>
      </c>
      <c r="C71" s="18">
        <v>12</v>
      </c>
      <c r="D71" s="19">
        <v>175</v>
      </c>
      <c r="E71" s="18">
        <f t="shared" si="2"/>
        <v>2100</v>
      </c>
      <c r="F71" s="18">
        <f t="shared" si="3"/>
        <v>147</v>
      </c>
      <c r="G71" s="16">
        <v>7.0000000000000007E-2</v>
      </c>
      <c r="H71" s="1"/>
    </row>
    <row r="72" spans="1:8" ht="15.75" thickBot="1" x14ac:dyDescent="0.3">
      <c r="A72" s="1"/>
      <c r="B72" s="1"/>
      <c r="C72" s="3" t="s">
        <v>75</v>
      </c>
      <c r="D72" s="3">
        <f>SUM(D2:D71)</f>
        <v>9367</v>
      </c>
      <c r="E72" s="3">
        <f t="shared" ref="E72:F72" si="4">SUM(E2:E71)</f>
        <v>142794.5</v>
      </c>
      <c r="F72" s="6">
        <f t="shared" si="4"/>
        <v>9995.6150000000034</v>
      </c>
      <c r="G72" s="1"/>
      <c r="H72" s="1"/>
    </row>
    <row r="73" spans="1:8" ht="15.75" thickBot="1" x14ac:dyDescent="0.3">
      <c r="A73" s="1"/>
      <c r="B73" s="1"/>
      <c r="C73" s="3" t="s">
        <v>76</v>
      </c>
      <c r="D73" s="7">
        <f>AVERAGE(D2:D71)</f>
        <v>133.81428571428572</v>
      </c>
      <c r="E73" s="8">
        <f t="shared" ref="E73:F73" si="5">AVERAGE(E2:E71)</f>
        <v>2039.9214285714286</v>
      </c>
      <c r="F73" s="8">
        <f t="shared" si="5"/>
        <v>142.79450000000006</v>
      </c>
      <c r="G73" s="1"/>
      <c r="H73" s="1"/>
    </row>
    <row r="74" spans="1:8" ht="15.75" thickBot="1" x14ac:dyDescent="0.3">
      <c r="A74" s="1"/>
      <c r="B74" s="1"/>
      <c r="C74" s="3" t="s">
        <v>77</v>
      </c>
      <c r="D74" s="7">
        <f>MAX(D2:D71)</f>
        <v>208</v>
      </c>
      <c r="E74" s="8">
        <f t="shared" ref="E74:F74" si="6">MAX(E2:E71)</f>
        <v>6368</v>
      </c>
      <c r="F74" s="8">
        <f t="shared" si="6"/>
        <v>445.76000000000005</v>
      </c>
      <c r="G74" s="1"/>
      <c r="H74" s="1"/>
    </row>
    <row r="75" spans="1:8" ht="15.75" thickBot="1" x14ac:dyDescent="0.3">
      <c r="A75" s="1"/>
      <c r="B75" s="1"/>
      <c r="C75" s="3" t="s">
        <v>78</v>
      </c>
      <c r="D75" s="9">
        <f>MIN(D2:D71)</f>
        <v>69</v>
      </c>
      <c r="E75" s="8">
        <f t="shared" ref="E75:F75" si="7">MIN(E2:E71)</f>
        <v>836</v>
      </c>
      <c r="F75" s="8">
        <f t="shared" si="7"/>
        <v>58.52</v>
      </c>
      <c r="G75" s="1"/>
      <c r="H75" s="1"/>
    </row>
    <row r="76" spans="1:8" ht="15.75" thickBot="1" x14ac:dyDescent="0.3">
      <c r="A76" s="1"/>
      <c r="B76" s="1"/>
      <c r="C76" s="5" t="s">
        <v>79</v>
      </c>
      <c r="D76" s="7">
        <f>COUNT(D2:D71)</f>
        <v>70</v>
      </c>
      <c r="E76" s="8">
        <f t="shared" ref="E76:F76" si="8">COUNT(E2:E71)</f>
        <v>70</v>
      </c>
      <c r="F76" s="8">
        <f t="shared" si="8"/>
        <v>70</v>
      </c>
      <c r="G76" s="1"/>
      <c r="H76" s="1"/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SATISFY</dc:creator>
  <cp:lastModifiedBy>SATISFY</cp:lastModifiedBy>
  <cp:lastPrinted>2026-02-17T17:14:59Z</cp:lastPrinted>
  <dcterms:created xsi:type="dcterms:W3CDTF">2026-02-17T15:57:48Z</dcterms:created>
  <dcterms:modified xsi:type="dcterms:W3CDTF">2026-02-19T20:38:26Z</dcterms:modified>
</cp:coreProperties>
</file>